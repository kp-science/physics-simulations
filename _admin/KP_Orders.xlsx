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Orders" sheetId="2" state="visible" r:id="rId4"/>
    <sheet name="🔑 Passwords" sheetId="3" state="visible" r:id="rId5"/>
    <sheet name="📧 Email Templates" sheetId="4" state="visible" r:id="rId6"/>
    <sheet name="📖 วิธีใช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<sst xmlns="http://schemas.openxmlformats.org/spreadsheetml/2006/main" count="127" uniqueCount="107">
  <si>
    <t xml:space="preserve">🔬  KP Science — ระบบจัดการออเดอร์</t>
  </si>
  <si>
    <t xml:space="preserve">โกเมน ปาปะโถ · โรงเรียนสตรีวิทยา · อัพเดท: 08/04/2026</t>
  </si>
  <si>
    <t xml:space="preserve">ออเดอร์ทั้งหมด</t>
  </si>
  <si>
    <t xml:space="preserve">ออเดอร์ที่ชำระแล้ว</t>
  </si>
  <si>
    <t xml:space="preserve">รายได้รวม (฿)</t>
  </si>
  <si>
    <t xml:space="preserve">รอชำระ</t>
  </si>
  <si>
    <t xml:space="preserve">▸  รายได้แยกตามแพ็กเกจ</t>
  </si>
  <si>
    <t xml:space="preserve">แพ็กเกจ</t>
  </si>
  <si>
    <t xml:space="preserve">ราคา (฿)</t>
  </si>
  <si>
    <t xml:space="preserve">จำนวนออเดอร์</t>
  </si>
  <si>
    <t xml:space="preserve">รายได้ (฿)</t>
  </si>
  <si>
    <t xml:space="preserve">% ของรายได้</t>
  </si>
  <si>
    <t xml:space="preserve">1 หมวด</t>
  </si>
  <si>
    <t xml:space="preserve">3 หมวด</t>
  </si>
  <si>
    <t xml:space="preserve">Full Collection</t>
  </si>
  <si>
    <t xml:space="preserve">รวม</t>
  </si>
  <si>
    <t xml:space="preserve">💡  วิธีใช้: กรอกข้อมูลออเดอร์ที่ sheet "📋 Orders" → เมื่อยืนยันการชำระเงิน เปลี่ยนสถานะเป็น "ชำระแล้ว" → Dashboard จะอัพเดทอัตโนมัติ · รหัสผ่านดูได้ที่ sheet "🔑 Passwords"</t>
  </si>
  <si>
    <t xml:space="preserve">📋  รายการออเดอร์ทั้งหมด — KP Science Simulations</t>
  </si>
  <si>
    <t xml:space="preserve">ลำดับ</t>
  </si>
  <si>
    <t xml:space="preserve">วันที่สั่ง</t>
  </si>
  <si>
    <t xml:space="preserve">ชื่อ-นามสกุล</t>
  </si>
  <si>
    <t xml:space="preserve">โรงเรียน / หน่วยงาน</t>
  </si>
  <si>
    <t xml:space="preserve">สถานะ</t>
  </si>
  <si>
    <t xml:space="preserve">วันที่ชำระ</t>
  </si>
  <si>
    <t xml:space="preserve">Line / Email</t>
  </si>
  <si>
    <t xml:space="preserve">หมวดที่ 1</t>
  </si>
  <si>
    <t xml:space="preserve">หมวดที่ 2</t>
  </si>
  <si>
    <t xml:space="preserve">หมวดที่ 3</t>
  </si>
  <si>
    <t xml:space="preserve">รหัสผ่านที่ส่ง</t>
  </si>
  <si>
    <t xml:space="preserve">ส่งรหัสแล้ว</t>
  </si>
  <si>
    <t xml:space="preserve">หมายเหตุ</t>
  </si>
  <si>
    <t xml:space="preserve">01/04/2025</t>
  </si>
  <si>
    <t xml:space="preserve">สมหญิง มั่นคง</t>
  </si>
  <si>
    <t xml:space="preserve">โรงเรียนเตรียมอุดม</t>
  </si>
  <si>
    <t xml:space="preserve">ชำระแล้ว</t>
  </si>
  <si>
    <t xml:space="preserve">02/04/2025</t>
  </si>
  <si>
    <t xml:space="preserve">line_A</t>
  </si>
  <si>
    <t xml:space="preserve">กลศาสตร์</t>
  </si>
  <si>
    <t xml:space="preserve">mech-2025</t>
  </si>
  <si>
    <t xml:space="preserve">✅</t>
  </si>
  <si>
    <t xml:space="preserve">03/04/2025</t>
  </si>
  <si>
    <t xml:space="preserve">วิชัย พัฒนา</t>
  </si>
  <si>
    <t xml:space="preserve">โรงเรียนสาธิตจุฬาฯ</t>
  </si>
  <si>
    <t xml:space="preserve">line_B</t>
  </si>
  <si>
    <t xml:space="preserve">คลื่น</t>
  </si>
  <si>
    <t xml:space="preserve">mech-2025, wave-2025</t>
  </si>
  <si>
    <t xml:space="preserve">05/04/2025</t>
  </si>
  <si>
    <t xml:space="preserve">นิภา สุขเกษม</t>
  </si>
  <si>
    <t xml:space="preserve">โรงเรียนสตรีวิทยา 2</t>
  </si>
  <si>
    <t xml:space="preserve">nipa@email.com</t>
  </si>
  <si>
    <t xml:space="preserve">❌</t>
  </si>
  <si>
    <t xml:space="preserve">รอสลิป</t>
  </si>
  <si>
    <t xml:space="preserve">  🟢 ชำระแล้ว = ส่งรหัสผ่านได้   🟡 รอชำระ = รอสลิปโอนเงิน   🔴 ยกเลิก = ออเดอร์ถูกยกเลิก   📌 คอลัมน์ F (ราคา) คำนวณอัตโนมัติ</t>
  </si>
  <si>
    <t xml:space="preserve">🔑  จัดการรหัสผ่าน — KP Science Simulations</t>
  </si>
  <si>
    <t xml:space="preserve">▸  รหัสผ่านตามหมวด (ปัจจุบัน)</t>
  </si>
  <si>
    <t xml:space="preserve">หมวด</t>
  </si>
  <si>
    <t xml:space="preserve">ชื่อไฟล์</t>
  </si>
  <si>
    <t xml:space="preserve">รหัสผ่านปัจจุบัน</t>
  </si>
  <si>
    <t xml:space="preserve">วันที่เปลี่ยนล่าสุด</t>
  </si>
  <si>
    <t xml:space="preserve">ใช้ได้ถึง</t>
  </si>
  <si>
    <t xml:space="preserve">จำนวนผู้ซื้อ</t>
  </si>
  <si>
    <t xml:space="preserve">กลศาสตร์ (Mechanics)</t>
  </si>
  <si>
    <t xml:space="preserve">mechanics.html</t>
  </si>
  <si>
    <t xml:space="preserve">kp2025</t>
  </si>
  <si>
    <t xml:space="preserve">01/01/2025</t>
  </si>
  <si>
    <t xml:space="preserve">31/12/2025</t>
  </si>
  <si>
    <t xml:space="preserve">คลื่น (Waves)</t>
  </si>
  <si>
    <t xml:space="preserve">waves.html</t>
  </si>
  <si>
    <t xml:space="preserve">wave2025</t>
  </si>
  <si>
    <t xml:space="preserve">ดาราศาสตร์ (Astronomy)</t>
  </si>
  <si>
    <t xml:space="preserve">astronomy.html</t>
  </si>
  <si>
    <t xml:space="preserve">astro2025</t>
  </si>
  <si>
    <t xml:space="preserve">ไฟฟ้า (Electricity)</t>
  </si>
  <si>
    <t xml:space="preserve">electricity.html</t>
  </si>
  <si>
    <t xml:space="preserve">elec2025</t>
  </si>
  <si>
    <t xml:space="preserve">กำลังพัฒนา</t>
  </si>
  <si>
    <t xml:space="preserve">อุณหพลศาสตร์ (Thermo)</t>
  </si>
  <si>
    <t xml:space="preserve">thermo.html</t>
  </si>
  <si>
    <t xml:space="preserve">thermo2025</t>
  </si>
  <si>
    <t xml:space="preserve">⚠️  ความปลอดภัย: เปลี่ยนรหัสผ่านทุก 6 เดือน หรือเมื่อสงสัยว่ามีการแชร์รหัส  ·  รหัสผ่านควรมีตัวเลข+ตัวอักษรอย่างน้อย 6 ตัว  ·  เมื่อเปลี่ยนรหัสต้องแก้ไขในไฟล์ HTML ด้วย (ค้นหา CORRECT_PW)</t>
  </si>
  <si>
    <t xml:space="preserve">▸  สรุปแพ็กเกจและรหัสที่ต้องส่ง</t>
  </si>
  <si>
    <t xml:space="preserve">1 หมวด  —  149 ฿</t>
  </si>
  <si>
    <t xml:space="preserve">ส่งรหัส 1 ชุด ตามหมวดที่เลือก</t>
  </si>
  <si>
    <t xml:space="preserve">3 หมวด  —  349 ฿</t>
  </si>
  <si>
    <t xml:space="preserve">ส่งรหัส 3 ชุด ตามหมวดที่เลือก</t>
  </si>
  <si>
    <t xml:space="preserve">Full Collection  —  549 ฿</t>
  </si>
  <si>
    <t xml:space="preserve">ส่งรหัสทุกหมวดที่เปิดให้บริการแล้ว</t>
  </si>
  <si>
    <t xml:space="preserve">📧  เทมเพลตอีเมล / Line สำหรับส่งรหัสผ่าน</t>
  </si>
  <si>
    <t xml:space="preserve">▸  แบบที่ 1: ยืนยันการรับออเดอร์ (ก่อนชำระเงิน)</t>
  </si>
  <si>
    <t xml:space="preserve">สวัสดีครับ/ค่ะ คุณ [ชื่อ]
ขอบคุณที่สนใจ KP Science Simulations นะครับ
ได้รับคำสั่งซื้อของคุณแล้ว ดังนี้
  📦 แพ็กเกจ: [แพ็กเกจ]
  💰 ยอดชำระ: [ราคา] บาท
  📚 หมวด: [หมวดที่เลือก]
กรุณาโอนเงินผ่าน PromptPay: 0XX-XXX-XXXX (โกเมน ปาปะโถ)
แล้วแนบสลิปกลับมาในช่องนี้เลยครับ 🙏
— ครูโกเมน · KP Science</t>
  </si>
  <si>
    <t xml:space="preserve">▸  แบบที่ 2: ส่งรหัสผ่านหลังชำระเงิน</t>
  </si>
  <si>
    <t xml:space="preserve">สวัสดีครับ/ค่ะ คุณ [ชื่อ] 🎉
ยืนยันการชำระเงินเรียบร้อยแล้วครับ
นี่คือรหัสผ่านสำหรับเข้าใช้งาน:
[ถ้าซื้อกลศาสตร์]
  🔑 กลศาสตร์:  [รหัสผ่าน]
  🔗 ลิงก์: https://komane67.github.io/physics-simulations/mechanics.html
[ถ้าซื้อคลื่น]
  🔑 คลื่น:  [รหัสผ่าน]
  🔗 ลิงก์: https://komane67.github.io/physics-simulations/waves.html
วิธีใช้: เปิดลิงก์ → กรอกรหัสผ่าน → เข้าใช้ได้ทันทีครับ
ใช้ได้บน PC · iPad · มือถือ ไม่ต้องติดตั้ง
หากมีปัญหาติดต่อได้ที่ Line นี้เลยครับ 😊
— ครูโกเมน · KP Science</t>
  </si>
  <si>
    <t xml:space="preserve">▸  แบบที่ 3: แจ้งเปลี่ยนรหัสผ่านประจำปี</t>
  </si>
  <si>
    <t xml:space="preserve">สวัสดีครับ/ค่ะ คุณ [ชื่อ]
KP Science ขอแจ้งอัพเดทรหัสผ่านประจำปี 2026 ครับ
รหัสผ่านใหม่ของคุณ:
  🔑 [หมวด]: [รหัสใหม่]
รหัสเดิมจะหมดอายุวันที่ [วันที่]
กรุณาอัพเดทก่อนวันดังกล่าวนะครับ 🙏
— ครูโกเมน · KP Science</t>
  </si>
  <si>
    <t xml:space="preserve">📖  คู่มือการใช้งาน — KP Science Order Manager</t>
  </si>
  <si>
    <t xml:space="preserve">ขั้นตอนที่ 1: รับออเดอร์</t>
  </si>
  <si>
    <t xml:space="preserve">ลูกค้าติดต่อผ่าน Line / Facebook → สอบถามแพ็กเกจที่ต้องการ → ส่งลิงก์ชำระเงิน</t>
  </si>
  <si>
    <t xml:space="preserve">ขั้นตอนที่ 2: บันทึก Sheet Orders</t>
  </si>
  <si>
    <t xml:space="preserve">กรอกข้อมูลลูกค้าใน sheet '📋 Orders': ชื่อ, โรงเรียน, แพ็กเกจ, หมวดที่เลือก, ช่องทางติดต่อ</t>
  </si>
  <si>
    <t xml:space="preserve">ขั้นตอนที่ 3: ยืนยันชำระเงิน</t>
  </si>
  <si>
    <t xml:space="preserve">รับสลิป → ตรวจยอด → เปลี่ยนสถานะใน column G เป็น 'ชำระแล้ว' พร้อมกรอกวันที่</t>
  </si>
  <si>
    <t xml:space="preserve">ขั้นตอนที่ 4: ส่งรหัสผ่าน</t>
  </si>
  <si>
    <t xml:space="preserve">ดูรหัสผ่านจาก sheet '🔑 Passwords' → copy เทมเพลตจาก '📧 Email Templates' → แทนที่ข้อมูล → ส่งทาง Line</t>
  </si>
  <si>
    <t xml:space="preserve">ขั้นตอนที่ 5: อัพเดท column M และ N</t>
  </si>
  <si>
    <t xml:space="preserve">กรอกรหัสที่ส่งใน column M (รหัสผ่านที่ส่ง) และ column N ใส่ ✅ เพื่อยืนยันว่าส่งแล้ว</t>
  </si>
  <si>
    <t xml:space="preserve">ขั้นตอนที่ 6 (ทำทุก 6 เดือน): เปลี่ยนรหัสผ่าน</t>
  </si>
  <si>
    <t xml:space="preserve">อัพเดทรหัสใน sheet '🔑 Passwords' → แก้ไข CORRECT_PW ในไฟล์ HTML ทุกไฟล์ → แจ้งลูกค้าที่ active ทุกราย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</si>
</sst>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8BDF8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9"/>
      <color rgb="FF38BDF8"/>
      <name val="Arial"/>
      <family val="0"/>
      <charset val="1"/>
    </font>
    <font>
      <b val="true"/>
      <sz val="9"/>
      <color rgb="FF34D399"/>
      <name val="Arial"/>
      <family val="0"/>
      <charset val="1"/>
    </font>
    <font>
      <b val="true"/>
      <sz val="9"/>
      <color rgb="FFFB923C"/>
      <name val="Arial"/>
      <family val="0"/>
      <charset val="1"/>
    </font>
    <font>
      <b val="true"/>
      <sz val="9"/>
      <color rgb="FF818CF8"/>
      <name val="Arial"/>
      <family val="0"/>
      <charset val="1"/>
    </font>
    <font>
      <b val="true"/>
      <sz val="22"/>
      <color rgb="FFF0F4F8"/>
      <name val="Arial"/>
      <family val="0"/>
      <charset val="1"/>
    </font>
    <font>
      <b val="true"/>
      <sz val="11"/>
      <color rgb="FF38BDF8"/>
      <name val="Arial"/>
      <family val="0"/>
      <charset val="1"/>
    </font>
    <font>
      <b val="true"/>
      <sz val="9"/>
      <color rgb="FF06090F"/>
      <name val="Arial"/>
      <family val="0"/>
      <charset val="1"/>
    </font>
    <font>
      <b val="true"/>
      <sz val="10"/>
      <color rgb="FF38BDF8"/>
      <name val="Arial"/>
      <family val="0"/>
      <charset val="1"/>
    </font>
    <font>
      <sz val="10"/>
      <color rgb="FFF0F4F8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FB923C"/>
      <name val="Arial"/>
      <family val="0"/>
      <charset val="1"/>
    </font>
    <font>
      <b val="true"/>
      <sz val="10"/>
      <color rgb="FFF0F4F8"/>
      <name val="Arial"/>
      <family val="0"/>
      <charset val="1"/>
    </font>
    <font>
      <sz val="10"/>
      <color rgb="FFFACC15"/>
      <name val="Arial"/>
      <family val="0"/>
      <charset val="1"/>
    </font>
    <font>
      <b val="true"/>
      <sz val="13"/>
      <color rgb="FF38BDF8"/>
      <name val="Arial"/>
      <family val="0"/>
      <charset val="1"/>
    </font>
    <font>
      <b val="true"/>
      <sz val="10"/>
      <color rgb="FFFACC15"/>
      <name val="Arial"/>
      <family val="0"/>
      <charset val="1"/>
    </font>
    <font>
      <sz val="10"/>
      <color rgb="FF38BDF8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3"/>
      <color rgb="FFFB923C"/>
      <name val="Arial"/>
      <family val="0"/>
      <charset val="1"/>
    </font>
    <font>
      <b val="true"/>
      <sz val="11"/>
      <color rgb="FFFB923C"/>
      <name val="Arial"/>
      <family val="0"/>
      <charset val="1"/>
    </font>
    <font>
      <b val="true"/>
      <sz val="11"/>
      <color rgb="FFFACC15"/>
      <name val="Courier New"/>
      <family val="0"/>
      <charset val="1"/>
    </font>
    <font>
      <b val="true"/>
      <sz val="13"/>
      <color rgb="FF818CF8"/>
      <name val="Arial"/>
      <family val="0"/>
      <charset val="1"/>
    </font>
    <font>
      <b val="true"/>
      <sz val="11"/>
      <color rgb="FF34D399"/>
      <name val="Arial"/>
      <family val="0"/>
      <charset val="1"/>
    </font>
    <font>
      <b val="true"/>
      <sz val="11"/>
      <color rgb="FFFACC15"/>
      <name val="Arial"/>
      <family val="0"/>
      <charset val="1"/>
    </font>
    <font>
      <b val="true"/>
      <sz val="14"/>
      <color rgb="FFF472B6"/>
      <name val="Arial"/>
      <family val="0"/>
      <charset val="1"/>
    </font>
    <font>
      <b val="true"/>
      <sz val="11"/>
      <color rgb="FF818CF8"/>
      <name val="Arial"/>
      <family val="0"/>
      <charset val="1"/>
    </font>
    <font>
      <b val="true"/>
      <sz val="11"/>
      <color rgb="FFF472B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6090F"/>
        <bgColor rgb="FF000000"/>
      </patternFill>
    </fill>
    <fill>
      <patternFill patternType="solid">
        <fgColor rgb="FF0D1421"/>
        <bgColor rgb="FF111827"/>
      </patternFill>
    </fill>
    <fill>
      <patternFill patternType="solid">
        <fgColor rgb="FF111827"/>
        <bgColor rgb="FF0D1421"/>
      </patternFill>
    </fill>
    <fill>
      <patternFill patternType="solid">
        <fgColor rgb="FF38BDF8"/>
        <bgColor rgb="FF34D399"/>
      </patternFill>
    </fill>
    <fill>
      <patternFill patternType="solid">
        <fgColor rgb="FF34D399"/>
        <bgColor rgb="FF38BDF8"/>
      </patternFill>
    </fill>
    <fill>
      <patternFill patternType="solid">
        <fgColor rgb="FFFB923C"/>
        <bgColor rgb="FFFF6600"/>
      </patternFill>
    </fill>
    <fill>
      <patternFill patternType="solid">
        <fgColor rgb="FF818CF8"/>
        <bgColor rgb="FF94A3B8"/>
      </patternFill>
    </fill>
    <fill>
      <patternFill patternType="solid">
        <fgColor rgb="FF1A1A00"/>
        <bgColor rgb="FF1A1500"/>
      </patternFill>
    </fill>
    <fill>
      <patternFill patternType="solid">
        <fgColor rgb="FF1A1500"/>
        <bgColor rgb="FF1A1A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38BDF8"/>
      </left>
      <right/>
      <top style="thin">
        <color rgb="FF38BDF8"/>
      </top>
      <bottom/>
      <diagonal/>
    </border>
    <border diagonalUp="false" diagonalDown="false">
      <left style="thin">
        <color rgb="FF34D399"/>
      </left>
      <right/>
      <top style="thin">
        <color rgb="FF34D399"/>
      </top>
      <bottom/>
      <diagonal/>
    </border>
    <border diagonalUp="false" diagonalDown="false">
      <left style="thin">
        <color rgb="FFFB923C"/>
      </left>
      <right/>
      <top style="thin">
        <color rgb="FFFB923C"/>
      </top>
      <bottom/>
      <diagonal/>
    </border>
    <border diagonalUp="false" diagonalDown="false">
      <left style="thin">
        <color rgb="FF818CF8"/>
      </left>
      <right/>
      <top style="thin">
        <color rgb="FF818CF8"/>
      </top>
      <bottom/>
      <diagonal/>
    </border>
    <border diagonalUp="false" diagonalDown="false"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  <border diagonalUp="false" diagonalDown="false"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 diagonalUp="false" diagonalDown="false">
      <left style="medium">
        <color rgb="FFFACC15"/>
      </left>
      <right/>
      <top style="thin">
        <color rgb="FF333300"/>
      </top>
      <bottom/>
      <diagonal/>
    </border>
    <border diagonalUp="false" diagonalDown="false">
      <left style="thin">
        <color rgb="FFFB923C"/>
      </left>
      <right style="thin">
        <color rgb="FFFB923C"/>
      </right>
      <top style="thin">
        <color rgb="FFFB923C"/>
      </top>
      <bottom style="thin">
        <color rgb="FFFB923C"/>
      </bottom>
      <diagonal/>
    </border>
    <border diagonalUp="false" diagonalDown="false">
      <left style="medium">
        <color rgb="FFFACC15"/>
      </left>
      <right/>
      <top style="thin">
        <color rgb="FF332800"/>
      </top>
      <bottom/>
      <diagonal/>
    </border>
    <border diagonalUp="false" diagonalDown="false">
      <left style="thin">
        <color rgb="FF1E3A5F"/>
      </left>
      <right/>
      <top style="thin">
        <color rgb="FF1E3A5F"/>
      </top>
      <bottom style="thin">
        <color rgb="FF1E3A5F"/>
      </bottom>
      <diagonal/>
    </border>
    <border diagonalUp="false" diagonalDown="false">
      <left style="medium">
        <color rgb="FF38BDF8"/>
      </left>
      <right/>
      <top style="thin">
        <color rgb="FF1E2A3A"/>
      </top>
      <bottom/>
      <diagonal/>
    </border>
    <border diagonalUp="false" diagonalDown="false">
      <left style="medium">
        <color rgb="FF34D399"/>
      </left>
      <right/>
      <top style="thin">
        <color rgb="FF1E2A3A"/>
      </top>
      <bottom/>
      <diagonal/>
    </border>
    <border diagonalUp="false" diagonalDown="false">
      <left style="medium">
        <color rgb="FFFACC15"/>
      </left>
      <right/>
      <top style="thin">
        <color rgb="FF1E2A3A"/>
      </top>
      <bottom/>
      <diagonal/>
    </border>
    <border diagonalUp="false" diagonalDown="false">
      <left style="medium">
        <color rgb="FFFB923C"/>
      </left>
      <right/>
      <top style="thin">
        <color rgb="FF1E2A3A"/>
      </top>
      <bottom/>
      <diagonal/>
    </border>
    <border diagonalUp="false" diagonalDown="false">
      <left style="medium">
        <color rgb="FF818CF8"/>
      </left>
      <right/>
      <top style="thin">
        <color rgb="FF1E2A3A"/>
      </top>
      <bottom/>
      <diagonal/>
    </border>
    <border diagonalUp="false" diagonalDown="false">
      <left style="medium">
        <color rgb="FFF472B6"/>
      </left>
      <right/>
      <top style="thin">
        <color rgb="FF1E2A3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4F8"/>
      <rgbColor rgb="FFFF0000"/>
      <rgbColor rgb="FF00FF00"/>
      <rgbColor rgb="FF0000FF"/>
      <rgbColor rgb="FFFFFF00"/>
      <rgbColor rgb="FFFF00FF"/>
      <rgbColor rgb="FF00FFFF"/>
      <rgbColor rgb="FF06090F"/>
      <rgbColor rgb="FF008000"/>
      <rgbColor rgb="FF0D1421"/>
      <rgbColor rgb="FF808000"/>
      <rgbColor rgb="FF800080"/>
      <rgbColor rgb="FF008080"/>
      <rgbColor rgb="FFC0C0C0"/>
      <rgbColor rgb="FF808080"/>
      <rgbColor rgb="FF818CF8"/>
      <rgbColor rgb="FF993366"/>
      <rgbColor rgb="FFFFFFCC"/>
      <rgbColor rgb="FFCCFFFF"/>
      <rgbColor rgb="FF1A1500"/>
      <rgbColor rgb="FFF472B6"/>
      <rgbColor rgb="FF0066CC"/>
      <rgbColor rgb="FFCCCCFF"/>
      <rgbColor rgb="FF111827"/>
      <rgbColor rgb="FFFF00FF"/>
      <rgbColor rgb="FFFFFF00"/>
      <rgbColor rgb="FF00FFFF"/>
      <rgbColor rgb="FF800080"/>
      <rgbColor rgb="FF800000"/>
      <rgbColor rgb="FF008080"/>
      <rgbColor rgb="FF0000FF"/>
      <rgbColor rgb="FF38BDF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ACC15"/>
      <rgbColor rgb="FFFB923C"/>
      <rgbColor rgb="FFFF6600"/>
      <rgbColor rgb="FF666699"/>
      <rgbColor rgb="FF94A3B8"/>
      <rgbColor rgb="FF1E3A5F"/>
      <rgbColor rgb="FF339966"/>
      <rgbColor rgb="FF1A1A00"/>
      <rgbColor rgb="FF333300"/>
      <rgbColor rgb="FF993300"/>
      <rgbColor rgb="FF993366"/>
      <rgbColor rgb="FF332800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9" min="9" style="0" width="4"/>
    <col collapsed="false" customWidth="true" hidden="false" outlineLevel="0" max="10" min="10" style="0" width="14"/>
    <col collapsed="false" customWidth="true" hidden="false" outlineLevel="0" max="11" min="11" style="0" width="4"/>
    <col collapsed="false" customWidth="true" hidden="false" outlineLevel="0" max="12" min="12" style="0" width="16"/>
    <col collapsed="false" customWidth="true" hidden="false" outlineLevel="0" max="13" min="13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</row>
    <row r="3" customFormat="false" ht="9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</row>
    <row r="4" customFormat="false" ht="21.7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</row>
    <row r="5" customFormat="false" ht="13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21.75" hidden="false" customHeight="true" outlineLevel="0" collapsed="false">
      <c r="A6" s="1"/>
      <c r="B6" s="4" t="s">
        <v>2</v>
      </c>
      <c r="C6" s="4"/>
      <c r="D6" s="1"/>
      <c r="E6" s="5" t="s">
        <v>3</v>
      </c>
      <c r="F6" s="5"/>
      <c r="G6" s="1"/>
      <c r="H6" s="6" t="s">
        <v>4</v>
      </c>
      <c r="I6" s="6"/>
      <c r="J6" s="1"/>
      <c r="K6" s="7" t="s">
        <v>5</v>
      </c>
      <c r="L6" s="7"/>
      <c r="M6" s="1"/>
      <c r="N6" s="1"/>
      <c r="O6" s="1"/>
      <c r="P6" s="1"/>
      <c r="Q6" s="1"/>
      <c r="R6" s="1"/>
      <c r="S6" s="1"/>
    </row>
    <row r="7" customFormat="false" ht="21.75" hidden="false" customHeight="true" outlineLevel="0" collapsed="false">
      <c r="A7" s="1"/>
      <c r="B7" s="4"/>
      <c r="C7" s="4"/>
      <c r="D7" s="1"/>
      <c r="E7" s="5"/>
      <c r="F7" s="5"/>
      <c r="G7" s="1"/>
      <c r="H7" s="6"/>
      <c r="I7" s="6"/>
      <c r="J7" s="1"/>
      <c r="K7" s="7"/>
      <c r="L7" s="7"/>
      <c r="M7" s="1"/>
      <c r="N7" s="1"/>
      <c r="O7" s="1"/>
      <c r="P7" s="1"/>
      <c r="Q7" s="1"/>
      <c r="R7" s="1"/>
      <c r="S7" s="1"/>
    </row>
    <row r="8" customFormat="false" ht="21.75" hidden="false" customHeight="true" outlineLevel="0" collapsed="false">
      <c r="A8" s="1"/>
      <c r="B8" s="8" t="n">
        <f aca="false">COUNTA('📋 Orders'!A3:A1002)-1</f>
        <v>50</v>
      </c>
      <c r="C8" s="8"/>
      <c r="D8" s="1"/>
      <c r="E8" s="9" t="n">
        <f aca="false">COUNTIF('📋 Orders'!G3:G1002,"ชำระแล้ว")</f>
        <v>2</v>
      </c>
      <c r="F8" s="9"/>
      <c r="G8" s="1"/>
      <c r="H8" s="10" t="n">
        <f aca="false">SUMIF('📋 Orders'!G3:G1002,"ชำระแล้ว",'📋 Orders'!F3:F1002)</f>
        <v>498</v>
      </c>
      <c r="I8" s="10"/>
      <c r="J8" s="1"/>
      <c r="K8" s="11" t="n">
        <f aca="false">COUNTIF('📋 Orders'!G3:G1002,"รอชำระ")</f>
        <v>1</v>
      </c>
      <c r="L8" s="11"/>
      <c r="M8" s="1"/>
      <c r="N8" s="1"/>
      <c r="O8" s="1"/>
      <c r="P8" s="1"/>
      <c r="Q8" s="1"/>
      <c r="R8" s="1"/>
      <c r="S8" s="1"/>
    </row>
    <row r="9" customFormat="false" ht="21.75" hidden="false" customHeight="true" outlineLevel="0" collapsed="false">
      <c r="A9" s="1"/>
      <c r="B9" s="8"/>
      <c r="C9" s="8"/>
      <c r="D9" s="1"/>
      <c r="E9" s="9"/>
      <c r="F9" s="9"/>
      <c r="G9" s="1"/>
      <c r="H9" s="10"/>
      <c r="I9" s="10"/>
      <c r="J9" s="1"/>
      <c r="K9" s="11"/>
      <c r="L9" s="11"/>
      <c r="M9" s="1"/>
      <c r="N9" s="1"/>
      <c r="O9" s="1"/>
      <c r="P9" s="1"/>
      <c r="Q9" s="1"/>
      <c r="R9" s="1"/>
      <c r="S9" s="1"/>
    </row>
    <row r="10" customFormat="false" ht="21.75" hidden="false" customHeight="true" outlineLevel="0" collapsed="false">
      <c r="A10" s="1"/>
      <c r="B10" s="12"/>
      <c r="C10" s="12"/>
      <c r="D10" s="1"/>
      <c r="E10" s="13"/>
      <c r="F10" s="13"/>
      <c r="G10" s="1"/>
      <c r="H10" s="14"/>
      <c r="I10" s="14"/>
      <c r="J10" s="1"/>
      <c r="K10" s="15"/>
      <c r="L10" s="15"/>
      <c r="M10" s="1"/>
      <c r="N10" s="1"/>
      <c r="O10" s="1"/>
      <c r="P10" s="1"/>
      <c r="Q10" s="1"/>
      <c r="R10" s="1"/>
      <c r="S10" s="1"/>
    </row>
    <row r="11" customFormat="false" ht="21.75" hidden="false" customHeight="true" outlineLevel="0" collapsed="false">
      <c r="A11" s="1"/>
      <c r="B11" s="12"/>
      <c r="C11" s="12"/>
      <c r="D11" s="1"/>
      <c r="E11" s="13"/>
      <c r="F11" s="13"/>
      <c r="G11" s="1"/>
      <c r="H11" s="14"/>
      <c r="I11" s="14"/>
      <c r="J11" s="1"/>
      <c r="K11" s="15"/>
      <c r="L11" s="15"/>
      <c r="M11" s="1"/>
      <c r="N11" s="1"/>
      <c r="O11" s="1"/>
      <c r="P11" s="1"/>
      <c r="Q11" s="1"/>
      <c r="R11" s="1"/>
      <c r="S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27.75" hidden="false" customHeight="true" outlineLevel="0" collapsed="false">
      <c r="A13" s="1"/>
      <c r="B13" s="16" t="s">
        <v>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"/>
      <c r="N13" s="1"/>
      <c r="O13" s="1"/>
      <c r="P13" s="1"/>
      <c r="Q13" s="1"/>
      <c r="R13" s="1"/>
      <c r="S13" s="1"/>
    </row>
    <row r="14" customFormat="false" ht="24" hidden="false" customHeight="true" outlineLevel="0" collapsed="false">
      <c r="A14" s="1"/>
      <c r="B14" s="17" t="s">
        <v>7</v>
      </c>
      <c r="C14" s="1"/>
      <c r="D14" s="17" t="s">
        <v>8</v>
      </c>
      <c r="E14" s="1"/>
      <c r="F14" s="17" t="s">
        <v>9</v>
      </c>
      <c r="G14" s="1"/>
      <c r="H14" s="17" t="s">
        <v>10</v>
      </c>
      <c r="I14" s="1"/>
      <c r="J14" s="17" t="s">
        <v>11</v>
      </c>
      <c r="K14" s="1"/>
      <c r="L14" s="1"/>
      <c r="M14" s="1"/>
      <c r="N14" s="1"/>
      <c r="O14" s="1"/>
      <c r="P14" s="1"/>
      <c r="Q14" s="1"/>
      <c r="R14" s="1"/>
      <c r="S14" s="1"/>
    </row>
    <row r="15" customFormat="false" ht="21.75" hidden="false" customHeight="true" outlineLevel="0" collapsed="false">
      <c r="A15" s="1"/>
      <c r="B15" s="18" t="s">
        <v>12</v>
      </c>
      <c r="C15" s="1"/>
      <c r="D15" s="19" t="n">
        <v>149</v>
      </c>
      <c r="E15" s="1"/>
      <c r="F15" s="20" t="n">
        <f aca="false">COUNTIFS('📋 Orders'!E3:E1002,B15,'📋 Orders'!G3:G1002,"ชำระแล้ว")</f>
        <v>1</v>
      </c>
      <c r="G15" s="1"/>
      <c r="H15" s="19" t="n">
        <f aca="false">F15*D15</f>
        <v>149</v>
      </c>
      <c r="I15" s="1"/>
      <c r="J15" s="21" t="n">
        <f aca="false">IFERROR(H15/'📊 Dashboard'!H8,0)</f>
        <v>0.299196787148594</v>
      </c>
      <c r="K15" s="1"/>
      <c r="L15" s="1"/>
      <c r="M15" s="1"/>
      <c r="N15" s="1"/>
      <c r="O15" s="1"/>
      <c r="P15" s="1"/>
      <c r="Q15" s="1"/>
      <c r="R15" s="1"/>
      <c r="S15" s="1"/>
    </row>
    <row r="16" customFormat="false" ht="21.75" hidden="false" customHeight="true" outlineLevel="0" collapsed="false">
      <c r="A16" s="1"/>
      <c r="B16" s="22" t="s">
        <v>13</v>
      </c>
      <c r="C16" s="1"/>
      <c r="D16" s="19" t="n">
        <v>349</v>
      </c>
      <c r="E16" s="1"/>
      <c r="F16" s="20" t="n">
        <f aca="false">COUNTIFS('📋 Orders'!E3:E1002,B16,'📋 Orders'!G3:G1002,"ชำระแล้ว")</f>
        <v>1</v>
      </c>
      <c r="G16" s="1"/>
      <c r="H16" s="19" t="n">
        <f aca="false">F16*D16</f>
        <v>349</v>
      </c>
      <c r="I16" s="1"/>
      <c r="J16" s="21" t="n">
        <f aca="false">IFERROR(H16/'📊 Dashboard'!H8,0)</f>
        <v>0.700803212851406</v>
      </c>
      <c r="K16" s="1"/>
      <c r="L16" s="1"/>
      <c r="M16" s="1"/>
      <c r="N16" s="1"/>
      <c r="O16" s="1"/>
      <c r="P16" s="1"/>
      <c r="Q16" s="1"/>
      <c r="R16" s="1"/>
      <c r="S16" s="1"/>
    </row>
    <row r="17" customFormat="false" ht="21.75" hidden="false" customHeight="true" outlineLevel="0" collapsed="false">
      <c r="A17" s="1"/>
      <c r="B17" s="23" t="s">
        <v>14</v>
      </c>
      <c r="C17" s="1"/>
      <c r="D17" s="19" t="n">
        <v>549</v>
      </c>
      <c r="E17" s="1"/>
      <c r="F17" s="20" t="n">
        <f aca="false">COUNTIFS('📋 Orders'!E3:E1002,B17,'📋 Orders'!G3:G1002,"ชำระแล้ว")</f>
        <v>0</v>
      </c>
      <c r="G17" s="1"/>
      <c r="H17" s="19" t="n">
        <f aca="false">F17*D17</f>
        <v>0</v>
      </c>
      <c r="I17" s="1"/>
      <c r="J17" s="21" t="n">
        <f aca="false">IFERROR(H17/'📊 Dashboard'!H8,0)</f>
        <v>0</v>
      </c>
      <c r="K17" s="1"/>
      <c r="L17" s="1"/>
      <c r="M17" s="1"/>
      <c r="N17" s="1"/>
      <c r="O17" s="1"/>
      <c r="P17" s="1"/>
      <c r="Q17" s="1"/>
      <c r="R17" s="1"/>
      <c r="S17" s="1"/>
    </row>
    <row r="18" customFormat="false" ht="24" hidden="false" customHeight="true" outlineLevel="0" collapsed="false">
      <c r="A18" s="1"/>
      <c r="B18" s="24" t="s">
        <v>15</v>
      </c>
      <c r="C18" s="1"/>
      <c r="D18" s="25"/>
      <c r="E18" s="1"/>
      <c r="F18" s="26" t="n">
        <f aca="false">SUM(F15:F17)</f>
        <v>2</v>
      </c>
      <c r="G18" s="1"/>
      <c r="H18" s="27" t="n">
        <f aca="false">SUM(H15:H17)</f>
        <v>498</v>
      </c>
      <c r="I18" s="1"/>
      <c r="J18" s="25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8" hidden="false" customHeight="true" outlineLevel="0" collapsed="false">
      <c r="A21" s="1"/>
      <c r="B21" s="28" t="s">
        <v>16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"/>
      <c r="N21" s="1"/>
      <c r="O21" s="1"/>
      <c r="P21" s="1"/>
      <c r="Q21" s="1"/>
      <c r="R21" s="1"/>
      <c r="S21" s="1"/>
    </row>
    <row r="22" customFormat="false" ht="18" hidden="false" customHeight="true" outlineLevel="0" collapsed="false">
      <c r="A22" s="1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"/>
      <c r="N22" s="1"/>
      <c r="O22" s="1"/>
      <c r="P22" s="1"/>
      <c r="Q22" s="1"/>
      <c r="R22" s="1"/>
      <c r="S22" s="1"/>
    </row>
    <row r="23" customFormat="false" ht="18" hidden="false" customHeight="true" outlineLevel="0" collapsed="false">
      <c r="A23" s="1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"/>
      <c r="N23" s="1"/>
      <c r="O23" s="1"/>
      <c r="P23" s="1"/>
      <c r="Q23" s="1"/>
      <c r="R23" s="1"/>
      <c r="S23" s="1"/>
    </row>
    <row r="24" customFormat="false" ht="18" hidden="false" customHeight="true" outlineLevel="0" collapsed="false">
      <c r="A24" s="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"/>
      <c r="N24" s="1"/>
      <c r="O24" s="1"/>
      <c r="P24" s="1"/>
      <c r="Q24" s="1"/>
      <c r="R24" s="1"/>
      <c r="S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16">
    <mergeCell ref="B2:L3"/>
    <mergeCell ref="B4:L4"/>
    <mergeCell ref="B6:C7"/>
    <mergeCell ref="E6:F7"/>
    <mergeCell ref="H6:I7"/>
    <mergeCell ref="K6:L7"/>
    <mergeCell ref="B8:C9"/>
    <mergeCell ref="E8:F9"/>
    <mergeCell ref="H8:I9"/>
    <mergeCell ref="K8:L9"/>
    <mergeCell ref="B10:C11"/>
    <mergeCell ref="E10:F11"/>
    <mergeCell ref="H10:I11"/>
    <mergeCell ref="K10:L11"/>
    <mergeCell ref="B13:L13"/>
    <mergeCell ref="B21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2" min="10" style="0" width="14"/>
    <col collapsed="false" customWidth="true" hidden="false" outlineLevel="0" max="13" min="13" style="0" width="20"/>
    <col collapsed="false" customWidth="true" hidden="false" outlineLevel="0" max="14" min="14" style="0" width="10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29" t="s">
        <v>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"/>
      <c r="Q1" s="1"/>
      <c r="R1" s="1"/>
      <c r="S1" s="1"/>
    </row>
    <row r="2" customFormat="false" ht="30" hidden="false" customHeight="true" outlineLevel="0" collapsed="false">
      <c r="A2" s="17" t="s">
        <v>18</v>
      </c>
      <c r="B2" s="17" t="s">
        <v>19</v>
      </c>
      <c r="C2" s="17" t="s">
        <v>20</v>
      </c>
      <c r="D2" s="17" t="s">
        <v>21</v>
      </c>
      <c r="E2" s="17" t="s">
        <v>7</v>
      </c>
      <c r="F2" s="17" t="s">
        <v>8</v>
      </c>
      <c r="G2" s="17" t="s">
        <v>22</v>
      </c>
      <c r="H2" s="17" t="s">
        <v>23</v>
      </c>
      <c r="I2" s="17" t="s">
        <v>24</v>
      </c>
      <c r="J2" s="17" t="s">
        <v>25</v>
      </c>
      <c r="K2" s="17" t="s">
        <v>26</v>
      </c>
      <c r="L2" s="17" t="s">
        <v>27</v>
      </c>
      <c r="M2" s="17" t="s">
        <v>28</v>
      </c>
      <c r="N2" s="17" t="s">
        <v>29</v>
      </c>
      <c r="O2" s="17" t="s">
        <v>30</v>
      </c>
      <c r="P2" s="1"/>
      <c r="Q2" s="1"/>
      <c r="R2" s="1"/>
      <c r="S2" s="1"/>
    </row>
    <row r="3" customFormat="false" ht="21.75" hidden="false" customHeight="true" outlineLevel="0" collapsed="false">
      <c r="A3" s="20" t="n">
        <v>1</v>
      </c>
      <c r="B3" s="20" t="s">
        <v>31</v>
      </c>
      <c r="C3" s="30" t="s">
        <v>32</v>
      </c>
      <c r="D3" s="30" t="s">
        <v>33</v>
      </c>
      <c r="E3" s="20" t="s">
        <v>12</v>
      </c>
      <c r="F3" s="19" t="n">
        <v>149</v>
      </c>
      <c r="G3" s="22" t="s">
        <v>34</v>
      </c>
      <c r="H3" s="20" t="s">
        <v>35</v>
      </c>
      <c r="I3" s="30" t="s">
        <v>36</v>
      </c>
      <c r="J3" s="30" t="s">
        <v>37</v>
      </c>
      <c r="K3" s="30"/>
      <c r="L3" s="30"/>
      <c r="M3" s="30" t="s">
        <v>38</v>
      </c>
      <c r="N3" s="20" t="s">
        <v>39</v>
      </c>
      <c r="O3" s="30"/>
      <c r="P3" s="1"/>
      <c r="Q3" s="1"/>
      <c r="R3" s="1"/>
      <c r="S3" s="1"/>
    </row>
    <row r="4" customFormat="false" ht="21.75" hidden="false" customHeight="true" outlineLevel="0" collapsed="false">
      <c r="A4" s="31" t="n">
        <v>2</v>
      </c>
      <c r="B4" s="31" t="s">
        <v>40</v>
      </c>
      <c r="C4" s="32" t="s">
        <v>41</v>
      </c>
      <c r="D4" s="32" t="s">
        <v>42</v>
      </c>
      <c r="E4" s="31" t="s">
        <v>13</v>
      </c>
      <c r="F4" s="33" t="n">
        <v>349</v>
      </c>
      <c r="G4" s="34" t="s">
        <v>34</v>
      </c>
      <c r="H4" s="31" t="s">
        <v>40</v>
      </c>
      <c r="I4" s="32" t="s">
        <v>43</v>
      </c>
      <c r="J4" s="32" t="s">
        <v>37</v>
      </c>
      <c r="K4" s="32" t="s">
        <v>44</v>
      </c>
      <c r="L4" s="32"/>
      <c r="M4" s="32" t="s">
        <v>45</v>
      </c>
      <c r="N4" s="31" t="s">
        <v>39</v>
      </c>
      <c r="O4" s="32"/>
      <c r="P4" s="1"/>
      <c r="Q4" s="1"/>
      <c r="R4" s="1"/>
      <c r="S4" s="1"/>
    </row>
    <row r="5" customFormat="false" ht="21.75" hidden="false" customHeight="true" outlineLevel="0" collapsed="false">
      <c r="A5" s="20" t="n">
        <v>3</v>
      </c>
      <c r="B5" s="20" t="s">
        <v>46</v>
      </c>
      <c r="C5" s="30" t="s">
        <v>47</v>
      </c>
      <c r="D5" s="30" t="s">
        <v>48</v>
      </c>
      <c r="E5" s="20" t="s">
        <v>14</v>
      </c>
      <c r="F5" s="19" t="n">
        <v>549</v>
      </c>
      <c r="G5" s="35" t="s">
        <v>5</v>
      </c>
      <c r="H5" s="20"/>
      <c r="I5" s="30" t="s">
        <v>49</v>
      </c>
      <c r="J5" s="30"/>
      <c r="K5" s="30"/>
      <c r="L5" s="30"/>
      <c r="M5" s="30"/>
      <c r="N5" s="20" t="s">
        <v>50</v>
      </c>
      <c r="O5" s="30" t="s">
        <v>51</v>
      </c>
      <c r="P5" s="1"/>
      <c r="Q5" s="1"/>
      <c r="R5" s="1"/>
      <c r="S5" s="1"/>
    </row>
    <row r="6" customFormat="false" ht="19.5" hidden="false" customHeight="true" outlineLevel="0" collapsed="false">
      <c r="A6" s="36" t="str">
        <f aca="false">IF(C6&lt;&gt;"",ROW()-2,"")</f>
        <v/>
      </c>
      <c r="B6" s="31"/>
      <c r="C6" s="32"/>
      <c r="D6" s="32"/>
      <c r="E6" s="31"/>
      <c r="F6" s="37" t="str">
        <f aca="false">IF(E6="1 หมวด",149,IF(E6="3 หมวด",349,IF(E6="Full Collection",549,"")))</f>
        <v/>
      </c>
      <c r="G6" s="31"/>
      <c r="H6" s="31"/>
      <c r="I6" s="32"/>
      <c r="J6" s="32"/>
      <c r="K6" s="32"/>
      <c r="L6" s="32"/>
      <c r="M6" s="32"/>
      <c r="N6" s="31"/>
      <c r="O6" s="32"/>
      <c r="P6" s="1"/>
      <c r="Q6" s="1"/>
      <c r="R6" s="1"/>
      <c r="S6" s="1"/>
    </row>
    <row r="7" customFormat="false" ht="19.5" hidden="false" customHeight="true" outlineLevel="0" collapsed="false">
      <c r="A7" s="38" t="str">
        <f aca="false">IF(C7&lt;&gt;"",ROW()-2,"")</f>
        <v/>
      </c>
      <c r="B7" s="20"/>
      <c r="C7" s="30"/>
      <c r="D7" s="30"/>
      <c r="E7" s="20"/>
      <c r="F7" s="39" t="str">
        <f aca="false">IF(E7="1 หมวด",149,IF(E7="3 หมวด",349,IF(E7="Full Collection",549,"")))</f>
        <v/>
      </c>
      <c r="G7" s="20"/>
      <c r="H7" s="20"/>
      <c r="I7" s="30"/>
      <c r="J7" s="30"/>
      <c r="K7" s="30"/>
      <c r="L7" s="30"/>
      <c r="M7" s="30"/>
      <c r="N7" s="20"/>
      <c r="O7" s="30"/>
      <c r="P7" s="1"/>
      <c r="Q7" s="1"/>
      <c r="R7" s="1"/>
      <c r="S7" s="1"/>
    </row>
    <row r="8" customFormat="false" ht="19.5" hidden="false" customHeight="true" outlineLevel="0" collapsed="false">
      <c r="A8" s="36" t="str">
        <f aca="false">IF(C8&lt;&gt;"",ROW()-2,"")</f>
        <v/>
      </c>
      <c r="B8" s="31"/>
      <c r="C8" s="32"/>
      <c r="D8" s="32"/>
      <c r="E8" s="31"/>
      <c r="F8" s="37" t="str">
        <f aca="false">IF(E8="1 หมวด",149,IF(E8="3 หมวด",349,IF(E8="Full Collection",549,"")))</f>
        <v/>
      </c>
      <c r="G8" s="31"/>
      <c r="H8" s="31"/>
      <c r="I8" s="32"/>
      <c r="J8" s="32"/>
      <c r="K8" s="32"/>
      <c r="L8" s="32"/>
      <c r="M8" s="32"/>
      <c r="N8" s="31"/>
      <c r="O8" s="32"/>
      <c r="P8" s="1"/>
      <c r="Q8" s="1"/>
      <c r="R8" s="1"/>
      <c r="S8" s="1"/>
    </row>
    <row r="9" customFormat="false" ht="19.5" hidden="false" customHeight="true" outlineLevel="0" collapsed="false">
      <c r="A9" s="38" t="str">
        <f aca="false">IF(C9&lt;&gt;"",ROW()-2,"")</f>
        <v/>
      </c>
      <c r="B9" s="20"/>
      <c r="C9" s="30"/>
      <c r="D9" s="30"/>
      <c r="E9" s="20"/>
      <c r="F9" s="39" t="str">
        <f aca="false">IF(E9="1 หมวด",149,IF(E9="3 หมวด",349,IF(E9="Full Collection",549,"")))</f>
        <v/>
      </c>
      <c r="G9" s="20"/>
      <c r="H9" s="20"/>
      <c r="I9" s="30"/>
      <c r="J9" s="30"/>
      <c r="K9" s="30"/>
      <c r="L9" s="30"/>
      <c r="M9" s="30"/>
      <c r="N9" s="20"/>
      <c r="O9" s="30"/>
      <c r="P9" s="1"/>
      <c r="Q9" s="1"/>
      <c r="R9" s="1"/>
      <c r="S9" s="1"/>
    </row>
    <row r="10" customFormat="false" ht="19.5" hidden="false" customHeight="true" outlineLevel="0" collapsed="false">
      <c r="A10" s="36" t="str">
        <f aca="false">IF(C10&lt;&gt;"",ROW()-2,"")</f>
        <v/>
      </c>
      <c r="B10" s="31"/>
      <c r="C10" s="32"/>
      <c r="D10" s="32"/>
      <c r="E10" s="31"/>
      <c r="F10" s="37" t="str">
        <f aca="false">IF(E10="1 หมวด",149,IF(E10="3 หมวด",349,IF(E10="Full Collection",549,"")))</f>
        <v/>
      </c>
      <c r="G10" s="31"/>
      <c r="H10" s="31"/>
      <c r="I10" s="32"/>
      <c r="J10" s="32"/>
      <c r="K10" s="32"/>
      <c r="L10" s="32"/>
      <c r="M10" s="32"/>
      <c r="N10" s="31"/>
      <c r="O10" s="32"/>
      <c r="P10" s="1"/>
      <c r="Q10" s="1"/>
      <c r="R10" s="1"/>
      <c r="S10" s="1"/>
    </row>
    <row r="11" customFormat="false" ht="19.5" hidden="false" customHeight="true" outlineLevel="0" collapsed="false">
      <c r="A11" s="38" t="str">
        <f aca="false">IF(C11&lt;&gt;"",ROW()-2,"")</f>
        <v/>
      </c>
      <c r="B11" s="20"/>
      <c r="C11" s="30"/>
      <c r="D11" s="30"/>
      <c r="E11" s="20"/>
      <c r="F11" s="39" t="str">
        <f aca="false">IF(E11="1 หมวด",149,IF(E11="3 หมวด",349,IF(E11="Full Collection",549,"")))</f>
        <v/>
      </c>
      <c r="G11" s="20"/>
      <c r="H11" s="20"/>
      <c r="I11" s="30"/>
      <c r="J11" s="30"/>
      <c r="K11" s="30"/>
      <c r="L11" s="30"/>
      <c r="M11" s="30"/>
      <c r="N11" s="20"/>
      <c r="O11" s="30"/>
      <c r="P11" s="1"/>
      <c r="Q11" s="1"/>
      <c r="R11" s="1"/>
      <c r="S11" s="1"/>
    </row>
    <row r="12" customFormat="false" ht="19.5" hidden="false" customHeight="true" outlineLevel="0" collapsed="false">
      <c r="A12" s="36" t="str">
        <f aca="false">IF(C12&lt;&gt;"",ROW()-2,"")</f>
        <v/>
      </c>
      <c r="B12" s="31"/>
      <c r="C12" s="32"/>
      <c r="D12" s="32"/>
      <c r="E12" s="31"/>
      <c r="F12" s="37" t="str">
        <f aca="false">IF(E12="1 หมวด",149,IF(E12="3 หมวด",349,IF(E12="Full Collection",549,"")))</f>
        <v/>
      </c>
      <c r="G12" s="31"/>
      <c r="H12" s="31"/>
      <c r="I12" s="32"/>
      <c r="J12" s="32"/>
      <c r="K12" s="32"/>
      <c r="L12" s="32"/>
      <c r="M12" s="32"/>
      <c r="N12" s="31"/>
      <c r="O12" s="32"/>
      <c r="P12" s="1"/>
      <c r="Q12" s="1"/>
      <c r="R12" s="1"/>
      <c r="S12" s="1"/>
    </row>
    <row r="13" customFormat="false" ht="19.5" hidden="false" customHeight="true" outlineLevel="0" collapsed="false">
      <c r="A13" s="38" t="str">
        <f aca="false">IF(C13&lt;&gt;"",ROW()-2,"")</f>
        <v/>
      </c>
      <c r="B13" s="20"/>
      <c r="C13" s="30"/>
      <c r="D13" s="30"/>
      <c r="E13" s="20"/>
      <c r="F13" s="39" t="str">
        <f aca="false">IF(E13="1 หมวด",149,IF(E13="3 หมวด",349,IF(E13="Full Collection",549,"")))</f>
        <v/>
      </c>
      <c r="G13" s="20"/>
      <c r="H13" s="20"/>
      <c r="I13" s="30"/>
      <c r="J13" s="30"/>
      <c r="K13" s="30"/>
      <c r="L13" s="30"/>
      <c r="M13" s="30"/>
      <c r="N13" s="20"/>
      <c r="O13" s="30"/>
      <c r="P13" s="1"/>
      <c r="Q13" s="1"/>
      <c r="R13" s="1"/>
      <c r="S13" s="1"/>
    </row>
    <row r="14" customFormat="false" ht="19.5" hidden="false" customHeight="true" outlineLevel="0" collapsed="false">
      <c r="A14" s="36" t="str">
        <f aca="false">IF(C14&lt;&gt;"",ROW()-2,"")</f>
        <v/>
      </c>
      <c r="B14" s="31"/>
      <c r="C14" s="32"/>
      <c r="D14" s="32"/>
      <c r="E14" s="31"/>
      <c r="F14" s="37" t="str">
        <f aca="false">IF(E14="1 หมวด",149,IF(E14="3 หมวด",349,IF(E14="Full Collection",549,"")))</f>
        <v/>
      </c>
      <c r="G14" s="31"/>
      <c r="H14" s="31"/>
      <c r="I14" s="32"/>
      <c r="J14" s="32"/>
      <c r="K14" s="32"/>
      <c r="L14" s="32"/>
      <c r="M14" s="32"/>
      <c r="N14" s="31"/>
      <c r="O14" s="32"/>
      <c r="P14" s="1"/>
      <c r="Q14" s="1"/>
      <c r="R14" s="1"/>
      <c r="S14" s="1"/>
    </row>
    <row r="15" customFormat="false" ht="19.5" hidden="false" customHeight="true" outlineLevel="0" collapsed="false">
      <c r="A15" s="38" t="str">
        <f aca="false">IF(C15&lt;&gt;"",ROW()-2,"")</f>
        <v/>
      </c>
      <c r="B15" s="20"/>
      <c r="C15" s="30"/>
      <c r="D15" s="30"/>
      <c r="E15" s="20"/>
      <c r="F15" s="39" t="str">
        <f aca="false">IF(E15="1 หมวด",149,IF(E15="3 หมวด",349,IF(E15="Full Collection",549,"")))</f>
        <v/>
      </c>
      <c r="G15" s="20"/>
      <c r="H15" s="20"/>
      <c r="I15" s="30"/>
      <c r="J15" s="30"/>
      <c r="K15" s="30"/>
      <c r="L15" s="30"/>
      <c r="M15" s="30"/>
      <c r="N15" s="20"/>
      <c r="O15" s="30"/>
      <c r="P15" s="1"/>
      <c r="Q15" s="1"/>
      <c r="R15" s="1"/>
      <c r="S15" s="1"/>
    </row>
    <row r="16" customFormat="false" ht="19.5" hidden="false" customHeight="true" outlineLevel="0" collapsed="false">
      <c r="A16" s="36" t="str">
        <f aca="false">IF(C16&lt;&gt;"",ROW()-2,"")</f>
        <v/>
      </c>
      <c r="B16" s="31"/>
      <c r="C16" s="32"/>
      <c r="D16" s="32"/>
      <c r="E16" s="31"/>
      <c r="F16" s="37" t="str">
        <f aca="false">IF(E16="1 หมวด",149,IF(E16="3 หมวด",349,IF(E16="Full Collection",549,"")))</f>
        <v/>
      </c>
      <c r="G16" s="31"/>
      <c r="H16" s="31"/>
      <c r="I16" s="32"/>
      <c r="J16" s="32"/>
      <c r="K16" s="32"/>
      <c r="L16" s="32"/>
      <c r="M16" s="32"/>
      <c r="N16" s="31"/>
      <c r="O16" s="32"/>
      <c r="P16" s="1"/>
      <c r="Q16" s="1"/>
      <c r="R16" s="1"/>
      <c r="S16" s="1"/>
    </row>
    <row r="17" customFormat="false" ht="19.5" hidden="false" customHeight="true" outlineLevel="0" collapsed="false">
      <c r="A17" s="38" t="str">
        <f aca="false">IF(C17&lt;&gt;"",ROW()-2,"")</f>
        <v/>
      </c>
      <c r="B17" s="20"/>
      <c r="C17" s="30"/>
      <c r="D17" s="30"/>
      <c r="E17" s="20"/>
      <c r="F17" s="39" t="str">
        <f aca="false">IF(E17="1 หมวด",149,IF(E17="3 หมวด",349,IF(E17="Full Collection",549,"")))</f>
        <v/>
      </c>
      <c r="G17" s="20"/>
      <c r="H17" s="20"/>
      <c r="I17" s="30"/>
      <c r="J17" s="30"/>
      <c r="K17" s="30"/>
      <c r="L17" s="30"/>
      <c r="M17" s="30"/>
      <c r="N17" s="20"/>
      <c r="O17" s="30"/>
      <c r="P17" s="1"/>
      <c r="Q17" s="1"/>
      <c r="R17" s="1"/>
      <c r="S17" s="1"/>
    </row>
    <row r="18" customFormat="false" ht="19.5" hidden="false" customHeight="true" outlineLevel="0" collapsed="false">
      <c r="A18" s="36" t="str">
        <f aca="false">IF(C18&lt;&gt;"",ROW()-2,"")</f>
        <v/>
      </c>
      <c r="B18" s="31"/>
      <c r="C18" s="32"/>
      <c r="D18" s="32"/>
      <c r="E18" s="31"/>
      <c r="F18" s="37" t="str">
        <f aca="false">IF(E18="1 หมวด",149,IF(E18="3 หมวด",349,IF(E18="Full Collection",549,"")))</f>
        <v/>
      </c>
      <c r="G18" s="31"/>
      <c r="H18" s="31"/>
      <c r="I18" s="32"/>
      <c r="J18" s="32"/>
      <c r="K18" s="32"/>
      <c r="L18" s="32"/>
      <c r="M18" s="32"/>
      <c r="N18" s="31"/>
      <c r="O18" s="32"/>
      <c r="P18" s="1"/>
      <c r="Q18" s="1"/>
      <c r="R18" s="1"/>
      <c r="S18" s="1"/>
    </row>
    <row r="19" customFormat="false" ht="19.5" hidden="false" customHeight="true" outlineLevel="0" collapsed="false">
      <c r="A19" s="38" t="str">
        <f aca="false">IF(C19&lt;&gt;"",ROW()-2,"")</f>
        <v/>
      </c>
      <c r="B19" s="20"/>
      <c r="C19" s="30"/>
      <c r="D19" s="30"/>
      <c r="E19" s="20"/>
      <c r="F19" s="39" t="str">
        <f aca="false">IF(E19="1 หมวด",149,IF(E19="3 หมวด",349,IF(E19="Full Collection",549,"")))</f>
        <v/>
      </c>
      <c r="G19" s="20"/>
      <c r="H19" s="20"/>
      <c r="I19" s="30"/>
      <c r="J19" s="30"/>
      <c r="K19" s="30"/>
      <c r="L19" s="30"/>
      <c r="M19" s="30"/>
      <c r="N19" s="20"/>
      <c r="O19" s="30"/>
      <c r="P19" s="1"/>
      <c r="Q19" s="1"/>
      <c r="R19" s="1"/>
      <c r="S19" s="1"/>
    </row>
    <row r="20" customFormat="false" ht="19.5" hidden="false" customHeight="true" outlineLevel="0" collapsed="false">
      <c r="A20" s="36" t="str">
        <f aca="false">IF(C20&lt;&gt;"",ROW()-2,"")</f>
        <v/>
      </c>
      <c r="B20" s="31"/>
      <c r="C20" s="32"/>
      <c r="D20" s="32"/>
      <c r="E20" s="31"/>
      <c r="F20" s="37" t="str">
        <f aca="false">IF(E20="1 หมวด",149,IF(E20="3 หมวด",349,IF(E20="Full Collection",549,"")))</f>
        <v/>
      </c>
      <c r="G20" s="31"/>
      <c r="H20" s="31"/>
      <c r="I20" s="32"/>
      <c r="J20" s="32"/>
      <c r="K20" s="32"/>
      <c r="L20" s="32"/>
      <c r="M20" s="32"/>
      <c r="N20" s="31"/>
      <c r="O20" s="32"/>
      <c r="P20" s="1"/>
      <c r="Q20" s="1"/>
      <c r="R20" s="1"/>
      <c r="S20" s="1"/>
    </row>
    <row r="21" customFormat="false" ht="19.5" hidden="false" customHeight="true" outlineLevel="0" collapsed="false">
      <c r="A21" s="38" t="str">
        <f aca="false">IF(C21&lt;&gt;"",ROW()-2,"")</f>
        <v/>
      </c>
      <c r="B21" s="20"/>
      <c r="C21" s="30"/>
      <c r="D21" s="30"/>
      <c r="E21" s="20"/>
      <c r="F21" s="39" t="str">
        <f aca="false">IF(E21="1 หมวด",149,IF(E21="3 หมวด",349,IF(E21="Full Collection",549,"")))</f>
        <v/>
      </c>
      <c r="G21" s="20"/>
      <c r="H21" s="20"/>
      <c r="I21" s="30"/>
      <c r="J21" s="30"/>
      <c r="K21" s="30"/>
      <c r="L21" s="30"/>
      <c r="M21" s="30"/>
      <c r="N21" s="20"/>
      <c r="O21" s="30"/>
      <c r="P21" s="1"/>
      <c r="Q21" s="1"/>
      <c r="R21" s="1"/>
      <c r="S21" s="1"/>
    </row>
    <row r="22" customFormat="false" ht="19.5" hidden="false" customHeight="true" outlineLevel="0" collapsed="false">
      <c r="A22" s="36" t="str">
        <f aca="false">IF(C22&lt;&gt;"",ROW()-2,"")</f>
        <v/>
      </c>
      <c r="B22" s="31"/>
      <c r="C22" s="32"/>
      <c r="D22" s="32"/>
      <c r="E22" s="31"/>
      <c r="F22" s="37" t="str">
        <f aca="false">IF(E22="1 หมวด",149,IF(E22="3 หมวด",349,IF(E22="Full Collection",549,"")))</f>
        <v/>
      </c>
      <c r="G22" s="31"/>
      <c r="H22" s="31"/>
      <c r="I22" s="32"/>
      <c r="J22" s="32"/>
      <c r="K22" s="32"/>
      <c r="L22" s="32"/>
      <c r="M22" s="32"/>
      <c r="N22" s="31"/>
      <c r="O22" s="32"/>
      <c r="P22" s="1"/>
      <c r="Q22" s="1"/>
      <c r="R22" s="1"/>
      <c r="S22" s="1"/>
    </row>
    <row r="23" customFormat="false" ht="19.5" hidden="false" customHeight="true" outlineLevel="0" collapsed="false">
      <c r="A23" s="38" t="str">
        <f aca="false">IF(C23&lt;&gt;"",ROW()-2,"")</f>
        <v/>
      </c>
      <c r="B23" s="20"/>
      <c r="C23" s="30"/>
      <c r="D23" s="30"/>
      <c r="E23" s="20"/>
      <c r="F23" s="39" t="str">
        <f aca="false">IF(E23="1 หมวด",149,IF(E23="3 หมวด",349,IF(E23="Full Collection",549,"")))</f>
        <v/>
      </c>
      <c r="G23" s="20"/>
      <c r="H23" s="20"/>
      <c r="I23" s="30"/>
      <c r="J23" s="30"/>
      <c r="K23" s="30"/>
      <c r="L23" s="30"/>
      <c r="M23" s="30"/>
      <c r="N23" s="20"/>
      <c r="O23" s="30"/>
      <c r="P23" s="1"/>
      <c r="Q23" s="1"/>
      <c r="R23" s="1"/>
      <c r="S23" s="1"/>
    </row>
    <row r="24" customFormat="false" ht="19.5" hidden="false" customHeight="true" outlineLevel="0" collapsed="false">
      <c r="A24" s="36" t="str">
        <f aca="false">IF(C24&lt;&gt;"",ROW()-2,"")</f>
        <v/>
      </c>
      <c r="B24" s="31"/>
      <c r="C24" s="32"/>
      <c r="D24" s="32"/>
      <c r="E24" s="31"/>
      <c r="F24" s="37" t="str">
        <f aca="false">IF(E24="1 หมวด",149,IF(E24="3 หมวด",349,IF(E24="Full Collection",549,"")))</f>
        <v/>
      </c>
      <c r="G24" s="31"/>
      <c r="H24" s="31"/>
      <c r="I24" s="32"/>
      <c r="J24" s="32"/>
      <c r="K24" s="32"/>
      <c r="L24" s="32"/>
      <c r="M24" s="32"/>
      <c r="N24" s="31"/>
      <c r="O24" s="32"/>
      <c r="P24" s="1"/>
      <c r="Q24" s="1"/>
      <c r="R24" s="1"/>
      <c r="S24" s="1"/>
    </row>
    <row r="25" customFormat="false" ht="19.5" hidden="false" customHeight="true" outlineLevel="0" collapsed="false">
      <c r="A25" s="38" t="str">
        <f aca="false">IF(C25&lt;&gt;"",ROW()-2,"")</f>
        <v/>
      </c>
      <c r="B25" s="20"/>
      <c r="C25" s="30"/>
      <c r="D25" s="30"/>
      <c r="E25" s="20"/>
      <c r="F25" s="39" t="str">
        <f aca="false">IF(E25="1 หมวด",149,IF(E25="3 หมวด",349,IF(E25="Full Collection",549,"")))</f>
        <v/>
      </c>
      <c r="G25" s="20"/>
      <c r="H25" s="20"/>
      <c r="I25" s="30"/>
      <c r="J25" s="30"/>
      <c r="K25" s="30"/>
      <c r="L25" s="30"/>
      <c r="M25" s="30"/>
      <c r="N25" s="20"/>
      <c r="O25" s="30"/>
      <c r="P25" s="1"/>
      <c r="Q25" s="1"/>
      <c r="R25" s="1"/>
      <c r="S25" s="1"/>
    </row>
    <row r="26" customFormat="false" ht="19.5" hidden="false" customHeight="true" outlineLevel="0" collapsed="false">
      <c r="A26" s="36" t="str">
        <f aca="false">IF(C26&lt;&gt;"",ROW()-2,"")</f>
        <v/>
      </c>
      <c r="B26" s="31"/>
      <c r="C26" s="32"/>
      <c r="D26" s="32"/>
      <c r="E26" s="31"/>
      <c r="F26" s="37" t="str">
        <f aca="false">IF(E26="1 หมวด",149,IF(E26="3 หมวด",349,IF(E26="Full Collection",549,"")))</f>
        <v/>
      </c>
      <c r="G26" s="31"/>
      <c r="H26" s="31"/>
      <c r="I26" s="32"/>
      <c r="J26" s="32"/>
      <c r="K26" s="32"/>
      <c r="L26" s="32"/>
      <c r="M26" s="32"/>
      <c r="N26" s="31"/>
      <c r="O26" s="32"/>
      <c r="P26" s="1"/>
      <c r="Q26" s="1"/>
      <c r="R26" s="1"/>
      <c r="S26" s="1"/>
    </row>
    <row r="27" customFormat="false" ht="19.5" hidden="false" customHeight="true" outlineLevel="0" collapsed="false">
      <c r="A27" s="38" t="str">
        <f aca="false">IF(C27&lt;&gt;"",ROW()-2,"")</f>
        <v/>
      </c>
      <c r="B27" s="20"/>
      <c r="C27" s="30"/>
      <c r="D27" s="30"/>
      <c r="E27" s="20"/>
      <c r="F27" s="39" t="str">
        <f aca="false">IF(E27="1 หมวด",149,IF(E27="3 หมวด",349,IF(E27="Full Collection",549,"")))</f>
        <v/>
      </c>
      <c r="G27" s="20"/>
      <c r="H27" s="20"/>
      <c r="I27" s="30"/>
      <c r="J27" s="30"/>
      <c r="K27" s="30"/>
      <c r="L27" s="30"/>
      <c r="M27" s="30"/>
      <c r="N27" s="20"/>
      <c r="O27" s="30"/>
      <c r="P27" s="1"/>
      <c r="Q27" s="1"/>
      <c r="R27" s="1"/>
      <c r="S27" s="1"/>
    </row>
    <row r="28" customFormat="false" ht="19.5" hidden="false" customHeight="true" outlineLevel="0" collapsed="false">
      <c r="A28" s="36" t="str">
        <f aca="false">IF(C28&lt;&gt;"",ROW()-2,"")</f>
        <v/>
      </c>
      <c r="B28" s="31"/>
      <c r="C28" s="32"/>
      <c r="D28" s="32"/>
      <c r="E28" s="31"/>
      <c r="F28" s="37" t="str">
        <f aca="false">IF(E28="1 หมวด",149,IF(E28="3 หมวด",349,IF(E28="Full Collection",549,"")))</f>
        <v/>
      </c>
      <c r="G28" s="31"/>
      <c r="H28" s="31"/>
      <c r="I28" s="32"/>
      <c r="J28" s="32"/>
      <c r="K28" s="32"/>
      <c r="L28" s="32"/>
      <c r="M28" s="32"/>
      <c r="N28" s="31"/>
      <c r="O28" s="32"/>
      <c r="P28" s="1"/>
      <c r="Q28" s="1"/>
      <c r="R28" s="1"/>
      <c r="S28" s="1"/>
    </row>
    <row r="29" customFormat="false" ht="19.5" hidden="false" customHeight="true" outlineLevel="0" collapsed="false">
      <c r="A29" s="38" t="str">
        <f aca="false">IF(C29&lt;&gt;"",ROW()-2,"")</f>
        <v/>
      </c>
      <c r="B29" s="20"/>
      <c r="C29" s="30"/>
      <c r="D29" s="30"/>
      <c r="E29" s="20"/>
      <c r="F29" s="39" t="str">
        <f aca="false">IF(E29="1 หมวด",149,IF(E29="3 หมวด",349,IF(E29="Full Collection",549,"")))</f>
        <v/>
      </c>
      <c r="G29" s="20"/>
      <c r="H29" s="20"/>
      <c r="I29" s="30"/>
      <c r="J29" s="30"/>
      <c r="K29" s="30"/>
      <c r="L29" s="30"/>
      <c r="M29" s="30"/>
      <c r="N29" s="20"/>
      <c r="O29" s="30"/>
      <c r="P29" s="1"/>
      <c r="Q29" s="1"/>
      <c r="R29" s="1"/>
      <c r="S29" s="1"/>
    </row>
    <row r="30" customFormat="false" ht="19.5" hidden="false" customHeight="true" outlineLevel="0" collapsed="false">
      <c r="A30" s="36" t="str">
        <f aca="false">IF(C30&lt;&gt;"",ROW()-2,"")</f>
        <v/>
      </c>
      <c r="B30" s="31"/>
      <c r="C30" s="32"/>
      <c r="D30" s="32"/>
      <c r="E30" s="31"/>
      <c r="F30" s="37" t="str">
        <f aca="false">IF(E30="1 หมวด",149,IF(E30="3 หมวด",349,IF(E30="Full Collection",549,"")))</f>
        <v/>
      </c>
      <c r="G30" s="31"/>
      <c r="H30" s="31"/>
      <c r="I30" s="32"/>
      <c r="J30" s="32"/>
      <c r="K30" s="32"/>
      <c r="L30" s="32"/>
      <c r="M30" s="32"/>
      <c r="N30" s="31"/>
      <c r="O30" s="32"/>
      <c r="P30" s="1"/>
      <c r="Q30" s="1"/>
      <c r="R30" s="1"/>
      <c r="S30" s="1"/>
    </row>
    <row r="31" customFormat="false" ht="19.5" hidden="false" customHeight="true" outlineLevel="0" collapsed="false">
      <c r="A31" s="38" t="str">
        <f aca="false">IF(C31&lt;&gt;"",ROW()-2,"")</f>
        <v/>
      </c>
      <c r="B31" s="20"/>
      <c r="C31" s="30"/>
      <c r="D31" s="30"/>
      <c r="E31" s="20"/>
      <c r="F31" s="39" t="str">
        <f aca="false">IF(E31="1 หมวด",149,IF(E31="3 หมวด",349,IF(E31="Full Collection",549,"")))</f>
        <v/>
      </c>
      <c r="G31" s="20"/>
      <c r="H31" s="20"/>
      <c r="I31" s="30"/>
      <c r="J31" s="30"/>
      <c r="K31" s="30"/>
      <c r="L31" s="30"/>
      <c r="M31" s="30"/>
      <c r="N31" s="20"/>
      <c r="O31" s="30"/>
      <c r="P31" s="1"/>
      <c r="Q31" s="1"/>
      <c r="R31" s="1"/>
      <c r="S31" s="1"/>
    </row>
    <row r="32" customFormat="false" ht="19.5" hidden="false" customHeight="true" outlineLevel="0" collapsed="false">
      <c r="A32" s="36" t="str">
        <f aca="false">IF(C32&lt;&gt;"",ROW()-2,"")</f>
        <v/>
      </c>
      <c r="B32" s="31"/>
      <c r="C32" s="32"/>
      <c r="D32" s="32"/>
      <c r="E32" s="31"/>
      <c r="F32" s="37" t="str">
        <f aca="false">IF(E32="1 หมวด",149,IF(E32="3 หมวด",349,IF(E32="Full Collection",549,"")))</f>
        <v/>
      </c>
      <c r="G32" s="31"/>
      <c r="H32" s="31"/>
      <c r="I32" s="32"/>
      <c r="J32" s="32"/>
      <c r="K32" s="32"/>
      <c r="L32" s="32"/>
      <c r="M32" s="32"/>
      <c r="N32" s="31"/>
      <c r="O32" s="32"/>
      <c r="P32" s="1"/>
      <c r="Q32" s="1"/>
      <c r="R32" s="1"/>
      <c r="S32" s="1"/>
    </row>
    <row r="33" customFormat="false" ht="19.5" hidden="false" customHeight="true" outlineLevel="0" collapsed="false">
      <c r="A33" s="38" t="str">
        <f aca="false">IF(C33&lt;&gt;"",ROW()-2,"")</f>
        <v/>
      </c>
      <c r="B33" s="20"/>
      <c r="C33" s="30"/>
      <c r="D33" s="30"/>
      <c r="E33" s="20"/>
      <c r="F33" s="39" t="str">
        <f aca="false">IF(E33="1 หมวด",149,IF(E33="3 หมวด",349,IF(E33="Full Collection",549,"")))</f>
        <v/>
      </c>
      <c r="G33" s="20"/>
      <c r="H33" s="20"/>
      <c r="I33" s="30"/>
      <c r="J33" s="30"/>
      <c r="K33" s="30"/>
      <c r="L33" s="30"/>
      <c r="M33" s="30"/>
      <c r="N33" s="20"/>
      <c r="O33" s="30"/>
      <c r="P33" s="1"/>
      <c r="Q33" s="1"/>
      <c r="R33" s="1"/>
      <c r="S33" s="1"/>
    </row>
    <row r="34" customFormat="false" ht="19.5" hidden="false" customHeight="true" outlineLevel="0" collapsed="false">
      <c r="A34" s="36" t="str">
        <f aca="false">IF(C34&lt;&gt;"",ROW()-2,"")</f>
        <v/>
      </c>
      <c r="B34" s="31"/>
      <c r="C34" s="32"/>
      <c r="D34" s="32"/>
      <c r="E34" s="31"/>
      <c r="F34" s="37" t="str">
        <f aca="false">IF(E34="1 หมวด",149,IF(E34="3 หมวด",349,IF(E34="Full Collection",549,"")))</f>
        <v/>
      </c>
      <c r="G34" s="31"/>
      <c r="H34" s="31"/>
      <c r="I34" s="32"/>
      <c r="J34" s="32"/>
      <c r="K34" s="32"/>
      <c r="L34" s="32"/>
      <c r="M34" s="32"/>
      <c r="N34" s="31"/>
      <c r="O34" s="32"/>
      <c r="P34" s="1"/>
      <c r="Q34" s="1"/>
      <c r="R34" s="1"/>
      <c r="S34" s="1"/>
    </row>
    <row r="35" customFormat="false" ht="19.5" hidden="false" customHeight="true" outlineLevel="0" collapsed="false">
      <c r="A35" s="38" t="str">
        <f aca="false">IF(C35&lt;&gt;"",ROW()-2,"")</f>
        <v/>
      </c>
      <c r="B35" s="20"/>
      <c r="C35" s="30"/>
      <c r="D35" s="30"/>
      <c r="E35" s="20"/>
      <c r="F35" s="39" t="str">
        <f aca="false">IF(E35="1 หมวด",149,IF(E35="3 หมวด",349,IF(E35="Full Collection",549,"")))</f>
        <v/>
      </c>
      <c r="G35" s="20"/>
      <c r="H35" s="20"/>
      <c r="I35" s="30"/>
      <c r="J35" s="30"/>
      <c r="K35" s="30"/>
      <c r="L35" s="30"/>
      <c r="M35" s="30"/>
      <c r="N35" s="20"/>
      <c r="O35" s="30"/>
      <c r="P35" s="1"/>
      <c r="Q35" s="1"/>
      <c r="R35" s="1"/>
      <c r="S35" s="1"/>
    </row>
    <row r="36" customFormat="false" ht="19.5" hidden="false" customHeight="true" outlineLevel="0" collapsed="false">
      <c r="A36" s="36" t="str">
        <f aca="false">IF(C36&lt;&gt;"",ROW()-2,"")</f>
        <v/>
      </c>
      <c r="B36" s="31"/>
      <c r="C36" s="32"/>
      <c r="D36" s="32"/>
      <c r="E36" s="31"/>
      <c r="F36" s="37" t="str">
        <f aca="false">IF(E36="1 หมวด",149,IF(E36="3 หมวด",349,IF(E36="Full Collection",549,"")))</f>
        <v/>
      </c>
      <c r="G36" s="31"/>
      <c r="H36" s="31"/>
      <c r="I36" s="32"/>
      <c r="J36" s="32"/>
      <c r="K36" s="32"/>
      <c r="L36" s="32"/>
      <c r="M36" s="32"/>
      <c r="N36" s="31"/>
      <c r="O36" s="32"/>
      <c r="P36" s="1"/>
      <c r="Q36" s="1"/>
      <c r="R36" s="1"/>
      <c r="S36" s="1"/>
    </row>
    <row r="37" customFormat="false" ht="19.5" hidden="false" customHeight="true" outlineLevel="0" collapsed="false">
      <c r="A37" s="38" t="str">
        <f aca="false">IF(C37&lt;&gt;"",ROW()-2,"")</f>
        <v/>
      </c>
      <c r="B37" s="20"/>
      <c r="C37" s="30"/>
      <c r="D37" s="30"/>
      <c r="E37" s="20"/>
      <c r="F37" s="39" t="str">
        <f aca="false">IF(E37="1 หมวด",149,IF(E37="3 หมวด",349,IF(E37="Full Collection",549,"")))</f>
        <v/>
      </c>
      <c r="G37" s="20"/>
      <c r="H37" s="20"/>
      <c r="I37" s="30"/>
      <c r="J37" s="30"/>
      <c r="K37" s="30"/>
      <c r="L37" s="30"/>
      <c r="M37" s="30"/>
      <c r="N37" s="20"/>
      <c r="O37" s="30"/>
      <c r="P37" s="1"/>
      <c r="Q37" s="1"/>
      <c r="R37" s="1"/>
      <c r="S37" s="1"/>
    </row>
    <row r="38" customFormat="false" ht="19.5" hidden="false" customHeight="true" outlineLevel="0" collapsed="false">
      <c r="A38" s="36" t="str">
        <f aca="false">IF(C38&lt;&gt;"",ROW()-2,"")</f>
        <v/>
      </c>
      <c r="B38" s="31"/>
      <c r="C38" s="32"/>
      <c r="D38" s="32"/>
      <c r="E38" s="31"/>
      <c r="F38" s="37" t="str">
        <f aca="false">IF(E38="1 หมวด",149,IF(E38="3 หมวด",349,IF(E38="Full Collection",549,"")))</f>
        <v/>
      </c>
      <c r="G38" s="31"/>
      <c r="H38" s="31"/>
      <c r="I38" s="32"/>
      <c r="J38" s="32"/>
      <c r="K38" s="32"/>
      <c r="L38" s="32"/>
      <c r="M38" s="32"/>
      <c r="N38" s="31"/>
      <c r="O38" s="32"/>
      <c r="P38" s="1"/>
      <c r="Q38" s="1"/>
      <c r="R38" s="1"/>
      <c r="S38" s="1"/>
    </row>
    <row r="39" customFormat="false" ht="19.5" hidden="false" customHeight="true" outlineLevel="0" collapsed="false">
      <c r="A39" s="38" t="str">
        <f aca="false">IF(C39&lt;&gt;"",ROW()-2,"")</f>
        <v/>
      </c>
      <c r="B39" s="20"/>
      <c r="C39" s="30"/>
      <c r="D39" s="30"/>
      <c r="E39" s="20"/>
      <c r="F39" s="39" t="str">
        <f aca="false">IF(E39="1 หมวด",149,IF(E39="3 หมวด",349,IF(E39="Full Collection",549,"")))</f>
        <v/>
      </c>
      <c r="G39" s="20"/>
      <c r="H39" s="20"/>
      <c r="I39" s="30"/>
      <c r="J39" s="30"/>
      <c r="K39" s="30"/>
      <c r="L39" s="30"/>
      <c r="M39" s="30"/>
      <c r="N39" s="20"/>
      <c r="O39" s="30"/>
      <c r="P39" s="1"/>
      <c r="Q39" s="1"/>
      <c r="R39" s="1"/>
      <c r="S39" s="1"/>
    </row>
    <row r="40" customFormat="false" ht="19.5" hidden="false" customHeight="true" outlineLevel="0" collapsed="false">
      <c r="A40" s="36" t="str">
        <f aca="false">IF(C40&lt;&gt;"",ROW()-2,"")</f>
        <v/>
      </c>
      <c r="B40" s="31"/>
      <c r="C40" s="32"/>
      <c r="D40" s="32"/>
      <c r="E40" s="31"/>
      <c r="F40" s="37" t="str">
        <f aca="false">IF(E40="1 หมวด",149,IF(E40="3 หมวด",349,IF(E40="Full Collection",549,"")))</f>
        <v/>
      </c>
      <c r="G40" s="31"/>
      <c r="H40" s="31"/>
      <c r="I40" s="32"/>
      <c r="J40" s="32"/>
      <c r="K40" s="32"/>
      <c r="L40" s="32"/>
      <c r="M40" s="32"/>
      <c r="N40" s="31"/>
      <c r="O40" s="32"/>
      <c r="P40" s="1"/>
      <c r="Q40" s="1"/>
      <c r="R40" s="1"/>
      <c r="S40" s="1"/>
    </row>
    <row r="41" customFormat="false" ht="19.5" hidden="false" customHeight="true" outlineLevel="0" collapsed="false">
      <c r="A41" s="38" t="str">
        <f aca="false">IF(C41&lt;&gt;"",ROW()-2,"")</f>
        <v/>
      </c>
      <c r="B41" s="20"/>
      <c r="C41" s="30"/>
      <c r="D41" s="30"/>
      <c r="E41" s="20"/>
      <c r="F41" s="39" t="str">
        <f aca="false">IF(E41="1 หมวด",149,IF(E41="3 หมวด",349,IF(E41="Full Collection",549,"")))</f>
        <v/>
      </c>
      <c r="G41" s="20"/>
      <c r="H41" s="20"/>
      <c r="I41" s="30"/>
      <c r="J41" s="30"/>
      <c r="K41" s="30"/>
      <c r="L41" s="30"/>
      <c r="M41" s="30"/>
      <c r="N41" s="20"/>
      <c r="O41" s="30"/>
      <c r="P41" s="1"/>
      <c r="Q41" s="1"/>
      <c r="R41" s="1"/>
      <c r="S41" s="1"/>
    </row>
    <row r="42" customFormat="false" ht="19.5" hidden="false" customHeight="true" outlineLevel="0" collapsed="false">
      <c r="A42" s="36" t="str">
        <f aca="false">IF(C42&lt;&gt;"",ROW()-2,"")</f>
        <v/>
      </c>
      <c r="B42" s="31"/>
      <c r="C42" s="32"/>
      <c r="D42" s="32"/>
      <c r="E42" s="31"/>
      <c r="F42" s="37" t="str">
        <f aca="false">IF(E42="1 หมวด",149,IF(E42="3 หมวด",349,IF(E42="Full Collection",549,"")))</f>
        <v/>
      </c>
      <c r="G42" s="31"/>
      <c r="H42" s="31"/>
      <c r="I42" s="32"/>
      <c r="J42" s="32"/>
      <c r="K42" s="32"/>
      <c r="L42" s="32"/>
      <c r="M42" s="32"/>
      <c r="N42" s="31"/>
      <c r="O42" s="32"/>
      <c r="P42" s="1"/>
      <c r="Q42" s="1"/>
      <c r="R42" s="1"/>
      <c r="S42" s="1"/>
    </row>
    <row r="43" customFormat="false" ht="19.5" hidden="false" customHeight="true" outlineLevel="0" collapsed="false">
      <c r="A43" s="38" t="str">
        <f aca="false">IF(C43&lt;&gt;"",ROW()-2,"")</f>
        <v/>
      </c>
      <c r="B43" s="20"/>
      <c r="C43" s="30"/>
      <c r="D43" s="30"/>
      <c r="E43" s="20"/>
      <c r="F43" s="39" t="str">
        <f aca="false">IF(E43="1 หมวด",149,IF(E43="3 หมวด",349,IF(E43="Full Collection",549,"")))</f>
        <v/>
      </c>
      <c r="G43" s="20"/>
      <c r="H43" s="20"/>
      <c r="I43" s="30"/>
      <c r="J43" s="30"/>
      <c r="K43" s="30"/>
      <c r="L43" s="30"/>
      <c r="M43" s="30"/>
      <c r="N43" s="20"/>
      <c r="O43" s="30"/>
      <c r="P43" s="1"/>
      <c r="Q43" s="1"/>
      <c r="R43" s="1"/>
      <c r="S43" s="1"/>
    </row>
    <row r="44" customFormat="false" ht="19.5" hidden="false" customHeight="true" outlineLevel="0" collapsed="false">
      <c r="A44" s="36" t="str">
        <f aca="false">IF(C44&lt;&gt;"",ROW()-2,"")</f>
        <v/>
      </c>
      <c r="B44" s="31"/>
      <c r="C44" s="32"/>
      <c r="D44" s="32"/>
      <c r="E44" s="31"/>
      <c r="F44" s="37" t="str">
        <f aca="false">IF(E44="1 หมวด",149,IF(E44="3 หมวด",349,IF(E44="Full Collection",549,"")))</f>
        <v/>
      </c>
      <c r="G44" s="31"/>
      <c r="H44" s="31"/>
      <c r="I44" s="32"/>
      <c r="J44" s="32"/>
      <c r="K44" s="32"/>
      <c r="L44" s="32"/>
      <c r="M44" s="32"/>
      <c r="N44" s="31"/>
      <c r="O44" s="32"/>
      <c r="P44" s="1"/>
      <c r="Q44" s="1"/>
      <c r="R44" s="1"/>
      <c r="S44" s="1"/>
    </row>
    <row r="45" customFormat="false" ht="19.5" hidden="false" customHeight="true" outlineLevel="0" collapsed="false">
      <c r="A45" s="38" t="str">
        <f aca="false">IF(C45&lt;&gt;"",ROW()-2,"")</f>
        <v/>
      </c>
      <c r="B45" s="20"/>
      <c r="C45" s="30"/>
      <c r="D45" s="30"/>
      <c r="E45" s="20"/>
      <c r="F45" s="39" t="str">
        <f aca="false">IF(E45="1 หมวด",149,IF(E45="3 หมวด",349,IF(E45="Full Collection",549,"")))</f>
        <v/>
      </c>
      <c r="G45" s="20"/>
      <c r="H45" s="20"/>
      <c r="I45" s="30"/>
      <c r="J45" s="30"/>
      <c r="K45" s="30"/>
      <c r="L45" s="30"/>
      <c r="M45" s="30"/>
      <c r="N45" s="20"/>
      <c r="O45" s="30"/>
      <c r="P45" s="1"/>
      <c r="Q45" s="1"/>
      <c r="R45" s="1"/>
      <c r="S45" s="1"/>
    </row>
    <row r="46" customFormat="false" ht="19.5" hidden="false" customHeight="true" outlineLevel="0" collapsed="false">
      <c r="A46" s="36" t="str">
        <f aca="false">IF(C46&lt;&gt;"",ROW()-2,"")</f>
        <v/>
      </c>
      <c r="B46" s="31"/>
      <c r="C46" s="32"/>
      <c r="D46" s="32"/>
      <c r="E46" s="31"/>
      <c r="F46" s="37" t="str">
        <f aca="false">IF(E46="1 หมวด",149,IF(E46="3 หมวด",349,IF(E46="Full Collection",549,"")))</f>
        <v/>
      </c>
      <c r="G46" s="31"/>
      <c r="H46" s="31"/>
      <c r="I46" s="32"/>
      <c r="J46" s="32"/>
      <c r="K46" s="32"/>
      <c r="L46" s="32"/>
      <c r="M46" s="32"/>
      <c r="N46" s="31"/>
      <c r="O46" s="32"/>
      <c r="P46" s="1"/>
      <c r="Q46" s="1"/>
      <c r="R46" s="1"/>
      <c r="S46" s="1"/>
    </row>
    <row r="47" customFormat="false" ht="19.5" hidden="false" customHeight="true" outlineLevel="0" collapsed="false">
      <c r="A47" s="38" t="str">
        <f aca="false">IF(C47&lt;&gt;"",ROW()-2,"")</f>
        <v/>
      </c>
      <c r="B47" s="20"/>
      <c r="C47" s="30"/>
      <c r="D47" s="30"/>
      <c r="E47" s="20"/>
      <c r="F47" s="39" t="str">
        <f aca="false">IF(E47="1 หมวด",149,IF(E47="3 หมวด",349,IF(E47="Full Collection",549,"")))</f>
        <v/>
      </c>
      <c r="G47" s="20"/>
      <c r="H47" s="20"/>
      <c r="I47" s="30"/>
      <c r="J47" s="30"/>
      <c r="K47" s="30"/>
      <c r="L47" s="30"/>
      <c r="M47" s="30"/>
      <c r="N47" s="20"/>
      <c r="O47" s="30"/>
      <c r="P47" s="1"/>
      <c r="Q47" s="1"/>
      <c r="R47" s="1"/>
      <c r="S47" s="1"/>
    </row>
    <row r="48" customFormat="false" ht="19.5" hidden="false" customHeight="true" outlineLevel="0" collapsed="false">
      <c r="A48" s="36" t="str">
        <f aca="false">IF(C48&lt;&gt;"",ROW()-2,"")</f>
        <v/>
      </c>
      <c r="B48" s="31"/>
      <c r="C48" s="32"/>
      <c r="D48" s="32"/>
      <c r="E48" s="31"/>
      <c r="F48" s="37" t="str">
        <f aca="false">IF(E48="1 หมวด",149,IF(E48="3 หมวด",349,IF(E48="Full Collection",549,"")))</f>
        <v/>
      </c>
      <c r="G48" s="31"/>
      <c r="H48" s="31"/>
      <c r="I48" s="32"/>
      <c r="J48" s="32"/>
      <c r="K48" s="32"/>
      <c r="L48" s="32"/>
      <c r="M48" s="32"/>
      <c r="N48" s="31"/>
      <c r="O48" s="32"/>
      <c r="P48" s="1"/>
      <c r="Q48" s="1"/>
      <c r="R48" s="1"/>
      <c r="S48" s="1"/>
    </row>
    <row r="49" customFormat="false" ht="19.5" hidden="false" customHeight="true" outlineLevel="0" collapsed="false">
      <c r="A49" s="38" t="str">
        <f aca="false">IF(C49&lt;&gt;"",ROW()-2,"")</f>
        <v/>
      </c>
      <c r="B49" s="20"/>
      <c r="C49" s="30"/>
      <c r="D49" s="30"/>
      <c r="E49" s="20"/>
      <c r="F49" s="39" t="str">
        <f aca="false">IF(E49="1 หมวด",149,IF(E49="3 หมวด",349,IF(E49="Full Collection",549,"")))</f>
        <v/>
      </c>
      <c r="G49" s="20"/>
      <c r="H49" s="20"/>
      <c r="I49" s="30"/>
      <c r="J49" s="30"/>
      <c r="K49" s="30"/>
      <c r="L49" s="30"/>
      <c r="M49" s="30"/>
      <c r="N49" s="20"/>
      <c r="O49" s="30"/>
      <c r="P49" s="1"/>
      <c r="Q49" s="1"/>
      <c r="R49" s="1"/>
      <c r="S49" s="1"/>
    </row>
    <row r="50" customFormat="false" ht="19.5" hidden="false" customHeight="true" outlineLevel="0" collapsed="false">
      <c r="A50" s="36" t="str">
        <f aca="false">IF(C50&lt;&gt;"",ROW()-2,"")</f>
        <v/>
      </c>
      <c r="B50" s="31"/>
      <c r="C50" s="32"/>
      <c r="D50" s="32"/>
      <c r="E50" s="31"/>
      <c r="F50" s="37" t="str">
        <f aca="false">IF(E50="1 หมวด",149,IF(E50="3 หมวด",349,IF(E50="Full Collection",549,"")))</f>
        <v/>
      </c>
      <c r="G50" s="31"/>
      <c r="H50" s="31"/>
      <c r="I50" s="32"/>
      <c r="J50" s="32"/>
      <c r="K50" s="32"/>
      <c r="L50" s="32"/>
      <c r="M50" s="32"/>
      <c r="N50" s="31"/>
      <c r="O50" s="32"/>
      <c r="P50" s="1"/>
      <c r="Q50" s="1"/>
      <c r="R50" s="1"/>
      <c r="S50" s="1"/>
    </row>
    <row r="51" customFormat="false" ht="19.5" hidden="false" customHeight="true" outlineLevel="0" collapsed="false">
      <c r="A51" s="38" t="str">
        <f aca="false">IF(C51&lt;&gt;"",ROW()-2,"")</f>
        <v/>
      </c>
      <c r="B51" s="20"/>
      <c r="C51" s="30"/>
      <c r="D51" s="30"/>
      <c r="E51" s="20"/>
      <c r="F51" s="39" t="str">
        <f aca="false">IF(E51="1 หมวด",149,IF(E51="3 หมวด",349,IF(E51="Full Collection",549,"")))</f>
        <v/>
      </c>
      <c r="G51" s="20"/>
      <c r="H51" s="20"/>
      <c r="I51" s="30"/>
      <c r="J51" s="30"/>
      <c r="K51" s="30"/>
      <c r="L51" s="30"/>
      <c r="M51" s="30"/>
      <c r="N51" s="20"/>
      <c r="O51" s="30"/>
      <c r="P51" s="1"/>
      <c r="Q51" s="1"/>
      <c r="R51" s="1"/>
      <c r="S51" s="1"/>
    </row>
    <row r="52" customFormat="false" ht="19.5" hidden="false" customHeight="true" outlineLevel="0" collapsed="false">
      <c r="A52" s="36" t="str">
        <f aca="false">IF(C52&lt;&gt;"",ROW()-2,"")</f>
        <v/>
      </c>
      <c r="B52" s="31"/>
      <c r="C52" s="32"/>
      <c r="D52" s="32"/>
      <c r="E52" s="31"/>
      <c r="F52" s="37" t="str">
        <f aca="false">IF(E52="1 หมวด",149,IF(E52="3 หมวด",349,IF(E52="Full Collection",549,"")))</f>
        <v/>
      </c>
      <c r="G52" s="31"/>
      <c r="H52" s="31"/>
      <c r="I52" s="32"/>
      <c r="J52" s="32"/>
      <c r="K52" s="32"/>
      <c r="L52" s="32"/>
      <c r="M52" s="32"/>
      <c r="N52" s="31"/>
      <c r="O52" s="32"/>
      <c r="P52" s="1"/>
      <c r="Q52" s="1"/>
      <c r="R52" s="1"/>
      <c r="S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21.75" hidden="false" customHeight="true" outlineLevel="0" collapsed="false">
      <c r="A54" s="40" t="s">
        <v>52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1"/>
      <c r="Q54" s="1"/>
      <c r="R54" s="1"/>
      <c r="S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customFormat="false" ht="19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customFormat="false" ht="19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customFormat="false" ht="19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customFormat="false" ht="19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customFormat="false" ht="19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customFormat="false" ht="19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customFormat="false" ht="19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customFormat="false" ht="19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customFormat="false" ht="19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customFormat="false" ht="19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customFormat="false" ht="19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customFormat="false" ht="19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customFormat="false" ht="19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customFormat="false" ht="19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customFormat="false" ht="19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customFormat="false" ht="19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customFormat="false" ht="19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customFormat="false" ht="19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customFormat="false" ht="19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customFormat="false" ht="19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customFormat="false" ht="19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</sheetData>
  <mergeCells count="2">
    <mergeCell ref="A1:O1"/>
    <mergeCell ref="A54:O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41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1"/>
      <c r="M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5.5" hidden="false" customHeight="true" outlineLevel="0" collapsed="false">
      <c r="A3" s="42" t="s">
        <v>54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1"/>
      <c r="M3" s="1"/>
    </row>
    <row r="4" customFormat="false" ht="27.75" hidden="false" customHeight="true" outlineLevel="0" collapsed="false">
      <c r="A4" s="43" t="s">
        <v>55</v>
      </c>
      <c r="B4" s="43" t="s">
        <v>56</v>
      </c>
      <c r="C4" s="43" t="s">
        <v>57</v>
      </c>
      <c r="D4" s="43" t="s">
        <v>58</v>
      </c>
      <c r="E4" s="43" t="s">
        <v>59</v>
      </c>
      <c r="F4" s="43" t="s">
        <v>60</v>
      </c>
      <c r="G4" s="1"/>
      <c r="H4" s="1"/>
      <c r="I4" s="1"/>
      <c r="J4" s="1"/>
      <c r="K4" s="43" t="s">
        <v>30</v>
      </c>
      <c r="L4" s="1"/>
      <c r="M4" s="1"/>
    </row>
    <row r="5" customFormat="false" ht="21.75" hidden="false" customHeight="true" outlineLevel="0" collapsed="false">
      <c r="A5" s="20" t="s">
        <v>61</v>
      </c>
      <c r="B5" s="20" t="s">
        <v>62</v>
      </c>
      <c r="C5" s="44" t="s">
        <v>63</v>
      </c>
      <c r="D5" s="20" t="s">
        <v>64</v>
      </c>
      <c r="E5" s="20" t="s">
        <v>65</v>
      </c>
      <c r="F5" s="20" t="n">
        <f aca="false">COUNTIF('📋 Orders'!J3:L1002,"กลศาสตร์")</f>
        <v>2</v>
      </c>
      <c r="G5" s="1"/>
      <c r="H5" s="1"/>
      <c r="I5" s="1"/>
      <c r="J5" s="1"/>
      <c r="K5" s="20"/>
      <c r="L5" s="1"/>
      <c r="M5" s="1"/>
    </row>
    <row r="6" customFormat="false" ht="21.75" hidden="false" customHeight="true" outlineLevel="0" collapsed="false">
      <c r="A6" s="31" t="s">
        <v>66</v>
      </c>
      <c r="B6" s="31" t="s">
        <v>67</v>
      </c>
      <c r="C6" s="45" t="s">
        <v>68</v>
      </c>
      <c r="D6" s="31" t="s">
        <v>64</v>
      </c>
      <c r="E6" s="31" t="s">
        <v>65</v>
      </c>
      <c r="F6" s="31" t="n">
        <f aca="false">COUNTIF('📋 Orders'!J3:L1002,"คลื่น")</f>
        <v>1</v>
      </c>
      <c r="G6" s="1"/>
      <c r="H6" s="1"/>
      <c r="I6" s="1"/>
      <c r="J6" s="1"/>
      <c r="K6" s="31"/>
      <c r="L6" s="1"/>
      <c r="M6" s="1"/>
    </row>
    <row r="7" customFormat="false" ht="21.75" hidden="false" customHeight="true" outlineLevel="0" collapsed="false">
      <c r="A7" s="20" t="s">
        <v>69</v>
      </c>
      <c r="B7" s="20" t="s">
        <v>70</v>
      </c>
      <c r="C7" s="44" t="s">
        <v>71</v>
      </c>
      <c r="D7" s="20" t="s">
        <v>64</v>
      </c>
      <c r="E7" s="20" t="s">
        <v>65</v>
      </c>
      <c r="F7" s="20" t="n">
        <f aca="false">COUNTIF('📋 Orders'!J3:L1002,"ดาราศาสตร์")</f>
        <v>0</v>
      </c>
      <c r="G7" s="1"/>
      <c r="H7" s="1"/>
      <c r="I7" s="1"/>
      <c r="J7" s="1"/>
      <c r="K7" s="20"/>
      <c r="L7" s="1"/>
      <c r="M7" s="1"/>
    </row>
    <row r="8" customFormat="false" ht="21.75" hidden="false" customHeight="true" outlineLevel="0" collapsed="false">
      <c r="A8" s="31" t="s">
        <v>72</v>
      </c>
      <c r="B8" s="31" t="s">
        <v>73</v>
      </c>
      <c r="C8" s="45" t="s">
        <v>74</v>
      </c>
      <c r="D8" s="31" t="s">
        <v>64</v>
      </c>
      <c r="E8" s="31" t="s">
        <v>65</v>
      </c>
      <c r="F8" s="31" t="n">
        <f aca="false">COUNTIF('📋 Orders'!J3:L1002,"ไฟฟ้า")</f>
        <v>0</v>
      </c>
      <c r="G8" s="1"/>
      <c r="H8" s="1"/>
      <c r="I8" s="1"/>
      <c r="J8" s="1"/>
      <c r="K8" s="31" t="s">
        <v>75</v>
      </c>
      <c r="L8" s="1"/>
      <c r="M8" s="1"/>
    </row>
    <row r="9" customFormat="false" ht="21.75" hidden="false" customHeight="true" outlineLevel="0" collapsed="false">
      <c r="A9" s="20" t="s">
        <v>76</v>
      </c>
      <c r="B9" s="20" t="s">
        <v>77</v>
      </c>
      <c r="C9" s="44" t="s">
        <v>78</v>
      </c>
      <c r="D9" s="20" t="s">
        <v>64</v>
      </c>
      <c r="E9" s="20" t="s">
        <v>65</v>
      </c>
      <c r="F9" s="20" t="n">
        <f aca="false">COUNTIF('📋 Orders'!J3:L1002,"อุณหพลศาสตร์")</f>
        <v>0</v>
      </c>
      <c r="G9" s="1"/>
      <c r="H9" s="1"/>
      <c r="I9" s="1"/>
      <c r="J9" s="1"/>
      <c r="K9" s="20" t="s">
        <v>75</v>
      </c>
      <c r="L9" s="1"/>
      <c r="M9" s="1"/>
    </row>
    <row r="10" customFormat="false" ht="19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8" hidden="false" customHeight="true" outlineLevel="0" collapsed="false">
      <c r="A11" s="46" t="s">
        <v>79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1"/>
      <c r="M11" s="1"/>
    </row>
    <row r="12" customFormat="false" ht="18" hidden="false" customHeight="true" outlineLevel="0" collapsed="false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1"/>
      <c r="M12" s="1"/>
    </row>
    <row r="13" customFormat="false" ht="18" hidden="false" customHeight="tru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1"/>
      <c r="M13" s="1"/>
    </row>
    <row r="14" customFormat="false" ht="19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25.5" hidden="false" customHeight="true" outlineLevel="0" collapsed="false">
      <c r="A15" s="16" t="s">
        <v>80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"/>
      <c r="M15" s="1"/>
    </row>
    <row r="16" customFormat="false" ht="21.75" hidden="false" customHeight="true" outlineLevel="0" collapsed="false">
      <c r="A16" s="47" t="s">
        <v>81</v>
      </c>
      <c r="B16" s="48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1"/>
      <c r="M16" s="1"/>
    </row>
    <row r="17" customFormat="false" ht="21.75" hidden="false" customHeight="true" outlineLevel="0" collapsed="false">
      <c r="A17" s="49" t="s">
        <v>83</v>
      </c>
      <c r="B17" s="48" t="s">
        <v>84</v>
      </c>
      <c r="C17" s="48"/>
      <c r="D17" s="48"/>
      <c r="E17" s="48"/>
      <c r="F17" s="48"/>
      <c r="G17" s="48"/>
      <c r="H17" s="48"/>
      <c r="I17" s="48"/>
      <c r="J17" s="48"/>
      <c r="K17" s="48"/>
      <c r="L17" s="1"/>
      <c r="M17" s="1"/>
    </row>
    <row r="18" customFormat="false" ht="21.75" hidden="false" customHeight="true" outlineLevel="0" collapsed="false">
      <c r="A18" s="50" t="s">
        <v>85</v>
      </c>
      <c r="B18" s="48" t="s">
        <v>86</v>
      </c>
      <c r="C18" s="48"/>
      <c r="D18" s="48"/>
      <c r="E18" s="48"/>
      <c r="F18" s="48"/>
      <c r="G18" s="48"/>
      <c r="H18" s="48"/>
      <c r="I18" s="48"/>
      <c r="J18" s="48"/>
      <c r="K18" s="48"/>
      <c r="L18" s="1"/>
      <c r="M18" s="1"/>
    </row>
    <row r="19" customFormat="false" ht="19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customFormat="false" ht="19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customFormat="false" ht="19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9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9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9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9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9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9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9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9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7">
    <mergeCell ref="A1:K1"/>
    <mergeCell ref="A3:K3"/>
    <mergeCell ref="A11:K13"/>
    <mergeCell ref="A15:K15"/>
    <mergeCell ref="B16:K16"/>
    <mergeCell ref="B17:K17"/>
    <mergeCell ref="B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2"/>
  </cols>
  <sheetData>
    <row r="1" customFormat="false" ht="30" hidden="false" customHeight="true" outlineLevel="0" collapsed="false">
      <c r="A1" s="51" t="s">
        <v>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1"/>
      <c r="M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5.5" hidden="false" customHeight="true" outlineLevel="0" collapsed="false">
      <c r="A3" s="16" t="s">
        <v>88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"/>
      <c r="M3" s="1"/>
    </row>
    <row r="4" customFormat="false" ht="15.75" hidden="false" customHeight="true" outlineLevel="0" collapsed="false">
      <c r="A4" s="52" t="s">
        <v>89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"/>
      <c r="M4" s="1"/>
    </row>
    <row r="5" customFormat="false" ht="15.75" hidden="false" customHeight="true" outlineLevel="0" collapsed="false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1"/>
      <c r="M5" s="1"/>
    </row>
    <row r="6" customFormat="false" ht="15.75" hidden="false" customHeight="true" outlineLevel="0" collapsed="false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1"/>
      <c r="M6" s="1"/>
    </row>
    <row r="7" customFormat="false" ht="15.75" hidden="false" customHeight="true" outlineLevel="0" collapsed="false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1"/>
      <c r="M7" s="1"/>
    </row>
    <row r="8" customFormat="false" ht="15.75" hidden="false" customHeight="true" outlineLevel="0" collapsed="false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1"/>
      <c r="M8" s="1"/>
    </row>
    <row r="9" customFormat="false" ht="15.75" hidden="false" customHeight="true" outlineLevel="0" collapsed="false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1"/>
      <c r="M9" s="1"/>
    </row>
    <row r="10" customFormat="false" ht="15.7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1"/>
      <c r="M10" s="1"/>
    </row>
    <row r="11" customFormat="false" ht="15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1"/>
      <c r="M11" s="1"/>
    </row>
    <row r="12" customFormat="false" ht="15.7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1"/>
      <c r="M12" s="1"/>
    </row>
    <row r="13" customFormat="false" ht="15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1"/>
      <c r="M13" s="1"/>
    </row>
    <row r="14" customFormat="false" ht="15.7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1"/>
      <c r="M14" s="1"/>
    </row>
    <row r="15" customFormat="false" ht="15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1"/>
      <c r="M15" s="1"/>
    </row>
    <row r="16" customFormat="false" ht="15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1"/>
      <c r="M16" s="1"/>
    </row>
    <row r="17" customFormat="false" ht="15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1"/>
      <c r="M17" s="1"/>
    </row>
    <row r="18" customFormat="false" ht="15.7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1"/>
      <c r="M18" s="1"/>
    </row>
    <row r="19" customFormat="false" ht="19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customFormat="false" ht="25.5" hidden="false" customHeight="true" outlineLevel="0" collapsed="false">
      <c r="A20" s="53" t="s">
        <v>90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1"/>
      <c r="M20" s="1"/>
    </row>
    <row r="21" customFormat="false" ht="15.75" hidden="false" customHeight="true" outlineLevel="0" collapsed="false">
      <c r="A21" s="54" t="s">
        <v>91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1"/>
      <c r="M21" s="1"/>
    </row>
    <row r="22" customFormat="false" ht="15.75" hidden="false" customHeight="true" outlineLevel="0" collapsed="false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1"/>
      <c r="M22" s="1"/>
    </row>
    <row r="23" customFormat="false" ht="15.75" hidden="false" customHeight="true" outlineLevel="0" collapsed="false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1"/>
      <c r="M23" s="1"/>
    </row>
    <row r="24" customFormat="false" ht="15.75" hidden="false" customHeight="true" outlineLevel="0" collapsed="false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1"/>
      <c r="M24" s="1"/>
    </row>
    <row r="25" customFormat="false" ht="15.75" hidden="false" customHeight="true" outlineLevel="0" collapsed="false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1"/>
      <c r="M25" s="1"/>
    </row>
    <row r="26" customFormat="false" ht="15.75" hidden="false" customHeight="true" outlineLevel="0" collapsed="false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1"/>
      <c r="M26" s="1"/>
    </row>
    <row r="27" customFormat="false" ht="15.75" hidden="false" customHeight="true" outlineLevel="0" collapsed="false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1"/>
      <c r="M27" s="1"/>
    </row>
    <row r="28" customFormat="false" ht="15.75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1"/>
      <c r="M28" s="1"/>
    </row>
    <row r="29" customFormat="false" ht="15.75" hidden="false" customHeight="true" outlineLevel="0" collapsed="false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1"/>
      <c r="M29" s="1"/>
    </row>
    <row r="30" customFormat="false" ht="15.75" hidden="false" customHeight="tru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1"/>
      <c r="M30" s="1"/>
    </row>
    <row r="31" customFormat="false" ht="15.75" hidden="false" customHeight="true" outlineLevel="0" collapsed="false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1"/>
      <c r="M31" s="1"/>
    </row>
    <row r="32" customFormat="false" ht="15.75" hidden="false" customHeight="tru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1"/>
      <c r="M32" s="1"/>
    </row>
    <row r="33" customFormat="false" ht="15.75" hidden="false" customHeight="true" outlineLevel="0" collapsed="false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1"/>
      <c r="M33" s="1"/>
    </row>
    <row r="34" customFormat="false" ht="15.75" hidden="false" customHeight="true" outlineLevel="0" collapsed="false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1"/>
      <c r="M34" s="1"/>
    </row>
    <row r="35" customFormat="false" ht="15.75" hidden="false" customHeight="true" outlineLevel="0" collapsed="false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1"/>
      <c r="M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25.5" hidden="false" customHeight="true" outlineLevel="0" collapsed="false">
      <c r="A37" s="55" t="s">
        <v>92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1"/>
      <c r="M37" s="1"/>
    </row>
    <row r="38" customFormat="false" ht="15.75" hidden="false" customHeight="true" outlineLevel="0" collapsed="false">
      <c r="A38" s="56" t="s">
        <v>93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1"/>
      <c r="M38" s="1"/>
    </row>
    <row r="39" customFormat="false" ht="15.75" hidden="false" customHeight="true" outlineLevel="0" collapsed="false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1"/>
      <c r="M39" s="1"/>
    </row>
    <row r="40" customFormat="false" ht="15.75" hidden="false" customHeight="true" outlineLevel="0" collapsed="false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1"/>
      <c r="M40" s="1"/>
    </row>
    <row r="41" customFormat="false" ht="15.75" hidden="false" customHeight="true" outlineLevel="0" collapsed="false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1"/>
      <c r="M41" s="1"/>
    </row>
    <row r="42" customFormat="false" ht="15.75" hidden="false" customHeight="true" outlineLevel="0" collapsed="false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1"/>
      <c r="M42" s="1"/>
    </row>
    <row r="43" customFormat="false" ht="15.75" hidden="false" customHeight="true" outlineLevel="0" collapsed="false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1"/>
      <c r="M43" s="1"/>
    </row>
    <row r="44" customFormat="false" ht="15.75" hidden="false" customHeight="true" outlineLevel="0" collapsed="false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1"/>
      <c r="M44" s="1"/>
    </row>
    <row r="45" customFormat="false" ht="15.75" hidden="false" customHeight="true" outlineLevel="0" collapsed="false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1"/>
      <c r="M45" s="1"/>
    </row>
    <row r="46" customFormat="false" ht="15.75" hidden="false" customHeight="true" outlineLevel="0" collapsed="false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1"/>
      <c r="M46" s="1"/>
    </row>
    <row r="47" customFormat="false" ht="15.75" hidden="false" customHeight="true" outlineLevel="0" collapsed="false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1"/>
      <c r="M47" s="1"/>
    </row>
    <row r="48" customFormat="false" ht="15.75" hidden="false" customHeight="true" outlineLevel="0" collapsed="false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1"/>
      <c r="M48" s="1"/>
    </row>
    <row r="49" customFormat="false" ht="15.75" hidden="false" customHeight="true" outlineLevel="0" collapsed="false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1"/>
      <c r="M49" s="1"/>
    </row>
    <row r="50" customFormat="false" ht="15.75" hidden="false" customHeight="true" outlineLevel="0" collapsed="false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1"/>
      <c r="M50" s="1"/>
    </row>
    <row r="51" customFormat="false" ht="15.75" hidden="false" customHeight="true" outlineLevel="0" collapsed="false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1"/>
      <c r="M51" s="1"/>
    </row>
    <row r="52" customFormat="false" ht="15.75" hidden="false" customHeight="true" outlineLevel="0" collapsed="false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1"/>
      <c r="M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7">
    <mergeCell ref="A1:K1"/>
    <mergeCell ref="A3:K3"/>
    <mergeCell ref="A4:K18"/>
    <mergeCell ref="A20:K20"/>
    <mergeCell ref="A21:K35"/>
    <mergeCell ref="A37:K37"/>
    <mergeCell ref="A38:K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54"/>
  </cols>
  <sheetData>
    <row r="1" customFormat="false" ht="31.5" hidden="false" customHeight="true" outlineLevel="0" collapsed="false">
      <c r="A1" s="1"/>
      <c r="B1" s="57" t="s">
        <v>94</v>
      </c>
      <c r="C1" s="57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25.5" hidden="false" customHeight="true" outlineLevel="0" collapsed="false">
      <c r="A4" s="1"/>
      <c r="B4" s="16" t="s">
        <v>95</v>
      </c>
      <c r="C4" s="16"/>
      <c r="D4" s="1"/>
      <c r="E4" s="1"/>
      <c r="F4" s="1"/>
      <c r="G4" s="1"/>
      <c r="H4" s="1"/>
      <c r="I4" s="1"/>
      <c r="J4" s="1"/>
      <c r="K4" s="1"/>
    </row>
    <row r="5" customFormat="false" ht="18" hidden="false" customHeight="true" outlineLevel="0" collapsed="false">
      <c r="A5" s="1"/>
      <c r="B5" s="58" t="s">
        <v>96</v>
      </c>
      <c r="C5" s="58"/>
      <c r="D5" s="1"/>
      <c r="E5" s="1"/>
      <c r="F5" s="1"/>
      <c r="G5" s="1"/>
      <c r="H5" s="1"/>
      <c r="I5" s="1"/>
      <c r="J5" s="1"/>
      <c r="K5" s="1"/>
    </row>
    <row r="6" customFormat="false" ht="18" hidden="false" customHeight="true" outlineLevel="0" collapsed="false">
      <c r="A6" s="1"/>
      <c r="B6" s="58"/>
      <c r="C6" s="58"/>
      <c r="D6" s="1"/>
      <c r="E6" s="1"/>
      <c r="F6" s="1"/>
      <c r="G6" s="1"/>
      <c r="H6" s="1"/>
      <c r="I6" s="1"/>
      <c r="J6" s="1"/>
      <c r="K6" s="1"/>
    </row>
    <row r="7" customFormat="false" ht="18" hidden="false" customHeight="true" outlineLevel="0" collapsed="false">
      <c r="A7" s="1"/>
      <c r="B7" s="58"/>
      <c r="C7" s="58"/>
      <c r="D7" s="1"/>
      <c r="E7" s="1"/>
      <c r="F7" s="1"/>
      <c r="G7" s="1"/>
      <c r="H7" s="1"/>
      <c r="I7" s="1"/>
      <c r="J7" s="1"/>
      <c r="K7" s="1"/>
    </row>
    <row r="8" customFormat="false" ht="9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25.5" hidden="false" customHeight="true" outlineLevel="0" collapsed="false">
      <c r="A9" s="1"/>
      <c r="B9" s="53" t="s">
        <v>97</v>
      </c>
      <c r="C9" s="53"/>
      <c r="D9" s="1"/>
      <c r="E9" s="1"/>
      <c r="F9" s="1"/>
      <c r="G9" s="1"/>
      <c r="H9" s="1"/>
      <c r="I9" s="1"/>
      <c r="J9" s="1"/>
      <c r="K9" s="1"/>
    </row>
    <row r="10" customFormat="false" ht="18" hidden="false" customHeight="true" outlineLevel="0" collapsed="false">
      <c r="A10" s="1"/>
      <c r="B10" s="59" t="s">
        <v>98</v>
      </c>
      <c r="C10" s="59"/>
      <c r="D10" s="1"/>
      <c r="E10" s="1"/>
      <c r="F10" s="1"/>
      <c r="G10" s="1"/>
      <c r="H10" s="1"/>
      <c r="I10" s="1"/>
      <c r="J10" s="1"/>
      <c r="K10" s="1"/>
    </row>
    <row r="11" customFormat="false" ht="18" hidden="false" customHeight="true" outlineLevel="0" collapsed="false">
      <c r="A11" s="1"/>
      <c r="B11" s="59"/>
      <c r="C11" s="59"/>
      <c r="D11" s="1"/>
      <c r="E11" s="1"/>
      <c r="F11" s="1"/>
      <c r="G11" s="1"/>
      <c r="H11" s="1"/>
      <c r="I11" s="1"/>
      <c r="J11" s="1"/>
      <c r="K11" s="1"/>
    </row>
    <row r="12" customFormat="false" ht="18" hidden="false" customHeight="true" outlineLevel="0" collapsed="false">
      <c r="A12" s="1"/>
      <c r="B12" s="59"/>
      <c r="C12" s="59"/>
      <c r="D12" s="1"/>
      <c r="E12" s="1"/>
      <c r="F12" s="1"/>
      <c r="G12" s="1"/>
      <c r="H12" s="1"/>
      <c r="I12" s="1"/>
      <c r="J12" s="1"/>
      <c r="K12" s="1"/>
    </row>
    <row r="13" customFormat="false" ht="9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25.5" hidden="false" customHeight="true" outlineLevel="0" collapsed="false">
      <c r="A14" s="1"/>
      <c r="B14" s="42" t="s">
        <v>99</v>
      </c>
      <c r="C14" s="42"/>
      <c r="D14" s="1"/>
      <c r="E14" s="1"/>
      <c r="F14" s="1"/>
      <c r="G14" s="1"/>
      <c r="H14" s="1"/>
      <c r="I14" s="1"/>
      <c r="J14" s="1"/>
      <c r="K14" s="1"/>
    </row>
    <row r="15" customFormat="false" ht="18" hidden="false" customHeight="true" outlineLevel="0" collapsed="false">
      <c r="A15" s="1"/>
      <c r="B15" s="60" t="s">
        <v>100</v>
      </c>
      <c r="C15" s="60"/>
      <c r="D15" s="1"/>
      <c r="E15" s="1"/>
      <c r="F15" s="1"/>
      <c r="G15" s="1"/>
      <c r="H15" s="1"/>
      <c r="I15" s="1"/>
      <c r="J15" s="1"/>
      <c r="K15" s="1"/>
    </row>
    <row r="16" customFormat="false" ht="18" hidden="false" customHeight="true" outlineLevel="0" collapsed="false">
      <c r="A16" s="1"/>
      <c r="B16" s="60"/>
      <c r="C16" s="60"/>
      <c r="D16" s="1"/>
      <c r="E16" s="1"/>
      <c r="F16" s="1"/>
      <c r="G16" s="1"/>
      <c r="H16" s="1"/>
      <c r="I16" s="1"/>
      <c r="J16" s="1"/>
      <c r="K16" s="1"/>
    </row>
    <row r="17" customFormat="false" ht="18" hidden="false" customHeight="true" outlineLevel="0" collapsed="false">
      <c r="A17" s="1"/>
      <c r="B17" s="60"/>
      <c r="C17" s="60"/>
      <c r="D17" s="1"/>
      <c r="E17" s="1"/>
      <c r="F17" s="1"/>
      <c r="G17" s="1"/>
      <c r="H17" s="1"/>
      <c r="I17" s="1"/>
      <c r="J17" s="1"/>
      <c r="K17" s="1"/>
    </row>
    <row r="18" customFormat="false" ht="9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25.5" hidden="false" customHeight="true" outlineLevel="0" collapsed="false">
      <c r="A19" s="1"/>
      <c r="B19" s="55" t="s">
        <v>101</v>
      </c>
      <c r="C19" s="55"/>
      <c r="D19" s="1"/>
      <c r="E19" s="1"/>
      <c r="F19" s="1"/>
      <c r="G19" s="1"/>
      <c r="H19" s="1"/>
      <c r="I19" s="1"/>
      <c r="J19" s="1"/>
      <c r="K19" s="1"/>
    </row>
    <row r="20" customFormat="false" ht="18" hidden="false" customHeight="true" outlineLevel="0" collapsed="false">
      <c r="A20" s="1"/>
      <c r="B20" s="61" t="s">
        <v>102</v>
      </c>
      <c r="C20" s="61"/>
      <c r="D20" s="1"/>
      <c r="E20" s="1"/>
      <c r="F20" s="1"/>
      <c r="G20" s="1"/>
      <c r="H20" s="1"/>
      <c r="I20" s="1"/>
      <c r="J20" s="1"/>
      <c r="K20" s="1"/>
    </row>
    <row r="21" customFormat="false" ht="18" hidden="false" customHeight="true" outlineLevel="0" collapsed="false">
      <c r="A21" s="1"/>
      <c r="B21" s="61"/>
      <c r="C21" s="61"/>
      <c r="D21" s="1"/>
      <c r="E21" s="1"/>
      <c r="F21" s="1"/>
      <c r="G21" s="1"/>
      <c r="H21" s="1"/>
      <c r="I21" s="1"/>
      <c r="J21" s="1"/>
      <c r="K21" s="1"/>
    </row>
    <row r="22" customFormat="false" ht="18" hidden="false" customHeight="true" outlineLevel="0" collapsed="false">
      <c r="A22" s="1"/>
      <c r="B22" s="61"/>
      <c r="C22" s="61"/>
      <c r="D22" s="1"/>
      <c r="E22" s="1"/>
      <c r="F22" s="1"/>
      <c r="G22" s="1"/>
      <c r="H22" s="1"/>
      <c r="I22" s="1"/>
      <c r="J22" s="1"/>
      <c r="K22" s="1"/>
    </row>
    <row r="23" customFormat="false" ht="9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customFormat="false" ht="25.5" hidden="false" customHeight="true" outlineLevel="0" collapsed="false">
      <c r="A24" s="1"/>
      <c r="B24" s="62" t="s">
        <v>103</v>
      </c>
      <c r="C24" s="62"/>
      <c r="D24" s="1"/>
      <c r="E24" s="1"/>
      <c r="F24" s="1"/>
      <c r="G24" s="1"/>
      <c r="H24" s="1"/>
      <c r="I24" s="1"/>
      <c r="J24" s="1"/>
      <c r="K24" s="1"/>
    </row>
    <row r="25" customFormat="false" ht="18" hidden="false" customHeight="true" outlineLevel="0" collapsed="false">
      <c r="A25" s="1"/>
      <c r="B25" s="63" t="s">
        <v>104</v>
      </c>
      <c r="C25" s="63"/>
      <c r="D25" s="1"/>
      <c r="E25" s="1"/>
      <c r="F25" s="1"/>
      <c r="G25" s="1"/>
      <c r="H25" s="1"/>
      <c r="I25" s="1"/>
      <c r="J25" s="1"/>
      <c r="K25" s="1"/>
    </row>
    <row r="26" customFormat="false" ht="18" hidden="false" customHeight="true" outlineLevel="0" collapsed="false">
      <c r="A26" s="1"/>
      <c r="B26" s="63"/>
      <c r="C26" s="63"/>
      <c r="D26" s="1"/>
      <c r="E26" s="1"/>
      <c r="F26" s="1"/>
      <c r="G26" s="1"/>
      <c r="H26" s="1"/>
      <c r="I26" s="1"/>
      <c r="J26" s="1"/>
      <c r="K26" s="1"/>
    </row>
    <row r="27" customFormat="false" ht="18" hidden="false" customHeight="true" outlineLevel="0" collapsed="false">
      <c r="A27" s="1"/>
      <c r="B27" s="63"/>
      <c r="C27" s="63"/>
      <c r="D27" s="1"/>
      <c r="E27" s="1"/>
      <c r="F27" s="1"/>
      <c r="G27" s="1"/>
      <c r="H27" s="1"/>
      <c r="I27" s="1"/>
      <c r="J27" s="1"/>
      <c r="K27" s="1"/>
    </row>
    <row r="28" customFormat="false" ht="9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25.5" hidden="false" customHeight="true" outlineLevel="0" collapsed="false">
      <c r="A29" s="1"/>
      <c r="B29" s="64" t="s">
        <v>105</v>
      </c>
      <c r="C29" s="64"/>
      <c r="D29" s="1"/>
      <c r="E29" s="1"/>
      <c r="F29" s="1"/>
      <c r="G29" s="1"/>
      <c r="H29" s="1"/>
      <c r="I29" s="1"/>
      <c r="J29" s="1"/>
      <c r="K29" s="1"/>
    </row>
    <row r="30" customFormat="false" ht="18" hidden="false" customHeight="true" outlineLevel="0" collapsed="false">
      <c r="A30" s="1"/>
      <c r="B30" s="65" t="s">
        <v>106</v>
      </c>
      <c r="C30" s="65"/>
      <c r="D30" s="1"/>
      <c r="E30" s="1"/>
      <c r="F30" s="1"/>
      <c r="G30" s="1"/>
      <c r="H30" s="1"/>
      <c r="I30" s="1"/>
      <c r="J30" s="1"/>
      <c r="K30" s="1"/>
    </row>
    <row r="31" customFormat="false" ht="18" hidden="false" customHeight="true" outlineLevel="0" collapsed="false">
      <c r="A31" s="1"/>
      <c r="B31" s="65"/>
      <c r="C31" s="65"/>
      <c r="D31" s="1"/>
      <c r="E31" s="1"/>
      <c r="F31" s="1"/>
      <c r="G31" s="1"/>
      <c r="H31" s="1"/>
      <c r="I31" s="1"/>
      <c r="J31" s="1"/>
      <c r="K31" s="1"/>
    </row>
    <row r="32" customFormat="false" ht="18" hidden="false" customHeight="true" outlineLevel="0" collapsed="false">
      <c r="A32" s="1"/>
      <c r="B32" s="65"/>
      <c r="C32" s="65"/>
      <c r="D32" s="1"/>
      <c r="E32" s="1"/>
      <c r="F32" s="1"/>
      <c r="G32" s="1"/>
      <c r="H32" s="1"/>
      <c r="I32" s="1"/>
      <c r="J32" s="1"/>
      <c r="K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</sheetData>
  <mergeCells count="13">
    <mergeCell ref="B1:C1"/>
    <mergeCell ref="B4:C4"/>
    <mergeCell ref="B5:C7"/>
    <mergeCell ref="B9:C9"/>
    <mergeCell ref="B10:C12"/>
    <mergeCell ref="B14:C14"/>
    <mergeCell ref="B15:C17"/>
    <mergeCell ref="B19:C19"/>
    <mergeCell ref="B20:C22"/>
    <mergeCell ref="B24:C24"/>
    <mergeCell ref="B25:C27"/>
    <mergeCell ref="B29:C29"/>
    <mergeCell ref="B30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2026-04-07T18:25:29Z</dcterms:created>
  <dc:creator>openpyxl</dc:creator>
  <dc:description/>
  <dc:language>en-US</dc:language>
  <cp:lastModifiedBy/>
  <dcterms:modified xsi:type="dcterms:W3CDTF">2026-04-07T18:25:30Z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